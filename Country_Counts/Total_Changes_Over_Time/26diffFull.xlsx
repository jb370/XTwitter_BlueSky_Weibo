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List of Countries/Countries_over_time/Chinese_COT/"/>
    </mc:Choice>
  </mc:AlternateContent>
  <xr:revisionPtr revIDLastSave="0" documentId="13_ncr:1_{432DA3F3-6412-704F-9C10-26DD73042D13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Week5" sheetId="1" r:id="rId1"/>
    <sheet name="Week4" sheetId="2" r:id="rId2"/>
    <sheet name="Week3" sheetId="3" r:id="rId3"/>
    <sheet name="Week2" sheetId="4" r:id="rId4"/>
    <sheet name="Week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AA3" i="1"/>
  <c r="AB3" i="1"/>
  <c r="AC3" i="1"/>
  <c r="Z4" i="1"/>
  <c r="AA4" i="1"/>
  <c r="AB4" i="1"/>
  <c r="AC4" i="1"/>
  <c r="Z5" i="1"/>
  <c r="AA5" i="1"/>
  <c r="AB5" i="1"/>
  <c r="AC5" i="1"/>
  <c r="Z6" i="1"/>
  <c r="AA6" i="1"/>
  <c r="AB6" i="1"/>
  <c r="AC6" i="1"/>
  <c r="Z7" i="1"/>
  <c r="AA7" i="1"/>
  <c r="AB7" i="1"/>
  <c r="AC7" i="1"/>
  <c r="Z8" i="1"/>
  <c r="AA8" i="1"/>
  <c r="AB8" i="1"/>
  <c r="AC8" i="1"/>
  <c r="Z9" i="1"/>
  <c r="AA9" i="1"/>
  <c r="AB9" i="1"/>
  <c r="AC9" i="1"/>
  <c r="Z10" i="1"/>
  <c r="AA10" i="1"/>
  <c r="AB10" i="1"/>
  <c r="AC10" i="1"/>
  <c r="Z11" i="1"/>
  <c r="AA11" i="1"/>
  <c r="AB11" i="1"/>
  <c r="AC11" i="1"/>
  <c r="Z12" i="1"/>
  <c r="AA12" i="1"/>
  <c r="AB12" i="1"/>
  <c r="AC12" i="1"/>
  <c r="Z13" i="1"/>
  <c r="AA13" i="1"/>
  <c r="AB13" i="1"/>
  <c r="AC13" i="1"/>
  <c r="Z14" i="1"/>
  <c r="AA14" i="1"/>
  <c r="AB14" i="1"/>
  <c r="AC14" i="1"/>
  <c r="Z15" i="1"/>
  <c r="AA15" i="1"/>
  <c r="AB15" i="1"/>
  <c r="AC15" i="1"/>
  <c r="Z16" i="1"/>
  <c r="AA16" i="1"/>
  <c r="AB16" i="1"/>
  <c r="AC16" i="1"/>
  <c r="Z17" i="1"/>
  <c r="AA17" i="1"/>
  <c r="AB17" i="1"/>
  <c r="AC17" i="1"/>
  <c r="Z18" i="1"/>
  <c r="AA18" i="1"/>
  <c r="AB18" i="1"/>
  <c r="AC18" i="1"/>
  <c r="Z19" i="1"/>
  <c r="AA19" i="1"/>
  <c r="AB19" i="1"/>
  <c r="AC19" i="1"/>
  <c r="Z20" i="1"/>
  <c r="AA20" i="1"/>
  <c r="AB20" i="1"/>
  <c r="AC20" i="1"/>
  <c r="Z21" i="1"/>
  <c r="AA21" i="1"/>
  <c r="AB21" i="1"/>
  <c r="AC21" i="1"/>
  <c r="Z22" i="1"/>
  <c r="AA22" i="1"/>
  <c r="AB22" i="1"/>
  <c r="AC22" i="1"/>
  <c r="Z23" i="1"/>
  <c r="AA23" i="1"/>
  <c r="AB23" i="1"/>
  <c r="AC23" i="1"/>
  <c r="Z24" i="1"/>
  <c r="AA24" i="1"/>
  <c r="AB24" i="1"/>
  <c r="AC24" i="1"/>
  <c r="Z25" i="1"/>
  <c r="AA25" i="1"/>
  <c r="AB25" i="1"/>
  <c r="AC25" i="1"/>
  <c r="Z26" i="1"/>
  <c r="AA26" i="1"/>
  <c r="AB26" i="1"/>
  <c r="AC26" i="1"/>
  <c r="Z27" i="1"/>
  <c r="AA27" i="1"/>
  <c r="AB27" i="1"/>
  <c r="AC27" i="1"/>
  <c r="Z28" i="1"/>
  <c r="AA28" i="1"/>
  <c r="AB28" i="1"/>
  <c r="AC28" i="1"/>
  <c r="Z29" i="1"/>
  <c r="AA29" i="1"/>
  <c r="AB29" i="1"/>
  <c r="AC29" i="1"/>
  <c r="Z30" i="1"/>
  <c r="AA30" i="1"/>
  <c r="AB30" i="1"/>
  <c r="AC30" i="1"/>
  <c r="Z31" i="1"/>
  <c r="AA31" i="1"/>
  <c r="AB31" i="1"/>
  <c r="AC31" i="1"/>
  <c r="Z32" i="1"/>
  <c r="AA32" i="1"/>
  <c r="AB32" i="1"/>
  <c r="AC32" i="1"/>
  <c r="Z33" i="1"/>
  <c r="AA33" i="1"/>
  <c r="AB33" i="1"/>
  <c r="AC33" i="1"/>
  <c r="Z34" i="1"/>
  <c r="AA34" i="1"/>
  <c r="AB34" i="1"/>
  <c r="AC34" i="1"/>
  <c r="Z35" i="1"/>
  <c r="AA35" i="1"/>
  <c r="AB35" i="1"/>
  <c r="AC35" i="1"/>
  <c r="Z36" i="1"/>
  <c r="AA36" i="1"/>
  <c r="AB36" i="1"/>
  <c r="AC36" i="1"/>
  <c r="Z37" i="1"/>
  <c r="AA37" i="1"/>
  <c r="AB37" i="1"/>
  <c r="AC37" i="1"/>
  <c r="Z38" i="1"/>
  <c r="AA38" i="1"/>
  <c r="AB38" i="1"/>
  <c r="AC38" i="1"/>
  <c r="Z39" i="1"/>
  <c r="AA39" i="1"/>
  <c r="AB39" i="1"/>
  <c r="AC39" i="1"/>
  <c r="Z40" i="1"/>
  <c r="AA40" i="1"/>
  <c r="AB40" i="1"/>
  <c r="AC40" i="1"/>
  <c r="Z41" i="1"/>
  <c r="AA41" i="1"/>
  <c r="AB41" i="1"/>
  <c r="AC41" i="1"/>
  <c r="Z42" i="1"/>
  <c r="AA42" i="1"/>
  <c r="AB42" i="1"/>
  <c r="AC42" i="1"/>
  <c r="Z43" i="1"/>
  <c r="AA43" i="1"/>
  <c r="AB43" i="1"/>
  <c r="AC43" i="1"/>
  <c r="Z44" i="1"/>
  <c r="AA44" i="1"/>
  <c r="AB44" i="1"/>
  <c r="AC44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Z53" i="1"/>
  <c r="AA53" i="1"/>
  <c r="AB53" i="1"/>
  <c r="AC53" i="1"/>
  <c r="Z54" i="1"/>
  <c r="AA54" i="1"/>
  <c r="AB54" i="1"/>
  <c r="AC54" i="1"/>
  <c r="Z55" i="1"/>
  <c r="AA55" i="1"/>
  <c r="AB55" i="1"/>
  <c r="AC55" i="1"/>
  <c r="Z56" i="1"/>
  <c r="AA56" i="1"/>
  <c r="AB56" i="1"/>
  <c r="AC56" i="1"/>
  <c r="Z57" i="1"/>
  <c r="AA57" i="1"/>
  <c r="AB57" i="1"/>
  <c r="AC57" i="1"/>
  <c r="Z58" i="1"/>
  <c r="AA58" i="1"/>
  <c r="AB58" i="1"/>
  <c r="AC58" i="1"/>
  <c r="Z59" i="1"/>
  <c r="AA59" i="1"/>
  <c r="AB59" i="1"/>
  <c r="AC59" i="1"/>
  <c r="Z60" i="1"/>
  <c r="AA60" i="1"/>
  <c r="AB60" i="1"/>
  <c r="AC60" i="1"/>
  <c r="Z61" i="1"/>
  <c r="AA61" i="1"/>
  <c r="AB61" i="1"/>
  <c r="AC61" i="1"/>
  <c r="Z62" i="1"/>
  <c r="AA62" i="1"/>
  <c r="AB62" i="1"/>
  <c r="AC62" i="1"/>
  <c r="Z63" i="1"/>
  <c r="AA63" i="1"/>
  <c r="AB63" i="1"/>
  <c r="AC63" i="1"/>
  <c r="Z64" i="1"/>
  <c r="AA64" i="1"/>
  <c r="AB64" i="1"/>
  <c r="AC64" i="1"/>
  <c r="Z65" i="1"/>
  <c r="AA65" i="1"/>
  <c r="AB65" i="1"/>
  <c r="AC65" i="1"/>
  <c r="Z66" i="1"/>
  <c r="AA66" i="1"/>
  <c r="AB66" i="1"/>
  <c r="AC66" i="1"/>
  <c r="Z67" i="1"/>
  <c r="AA67" i="1"/>
  <c r="AB67" i="1"/>
  <c r="AC67" i="1"/>
  <c r="Z68" i="1"/>
  <c r="AA68" i="1"/>
  <c r="AB68" i="1"/>
  <c r="AC68" i="1"/>
  <c r="Z69" i="1"/>
  <c r="AA69" i="1"/>
  <c r="AB69" i="1"/>
  <c r="AC69" i="1"/>
  <c r="AA2" i="1"/>
  <c r="AB2" i="1"/>
  <c r="AC2" i="1"/>
  <c r="Z2" i="1"/>
  <c r="T3" i="1"/>
  <c r="U3" i="1"/>
  <c r="V3" i="1"/>
  <c r="W3" i="1"/>
  <c r="X3" i="1"/>
  <c r="T4" i="1"/>
  <c r="U4" i="1"/>
  <c r="V4" i="1"/>
  <c r="W4" i="1"/>
  <c r="X4" i="1"/>
  <c r="T5" i="1"/>
  <c r="U5" i="1"/>
  <c r="V5" i="1"/>
  <c r="W5" i="1"/>
  <c r="X5" i="1"/>
  <c r="T6" i="1"/>
  <c r="U6" i="1"/>
  <c r="V6" i="1"/>
  <c r="W6" i="1"/>
  <c r="X6" i="1"/>
  <c r="T7" i="1"/>
  <c r="U7" i="1"/>
  <c r="V7" i="1"/>
  <c r="W7" i="1"/>
  <c r="X7" i="1"/>
  <c r="T8" i="1"/>
  <c r="U8" i="1"/>
  <c r="V8" i="1"/>
  <c r="W8" i="1"/>
  <c r="X8" i="1"/>
  <c r="T9" i="1"/>
  <c r="U9" i="1"/>
  <c r="V9" i="1"/>
  <c r="W9" i="1"/>
  <c r="X9" i="1"/>
  <c r="T10" i="1"/>
  <c r="U10" i="1"/>
  <c r="V10" i="1"/>
  <c r="W10" i="1"/>
  <c r="X10" i="1"/>
  <c r="T11" i="1"/>
  <c r="U11" i="1"/>
  <c r="V11" i="1"/>
  <c r="W11" i="1"/>
  <c r="X11" i="1"/>
  <c r="T12" i="1"/>
  <c r="U12" i="1"/>
  <c r="V12" i="1"/>
  <c r="W12" i="1"/>
  <c r="X12" i="1"/>
  <c r="T13" i="1"/>
  <c r="U13" i="1"/>
  <c r="V13" i="1"/>
  <c r="W13" i="1"/>
  <c r="X13" i="1"/>
  <c r="T14" i="1"/>
  <c r="U14" i="1"/>
  <c r="V14" i="1"/>
  <c r="W14" i="1"/>
  <c r="X14" i="1"/>
  <c r="T15" i="1"/>
  <c r="U15" i="1"/>
  <c r="V15" i="1"/>
  <c r="W15" i="1"/>
  <c r="X15" i="1"/>
  <c r="T16" i="1"/>
  <c r="U16" i="1"/>
  <c r="V16" i="1"/>
  <c r="W16" i="1"/>
  <c r="X16" i="1"/>
  <c r="T17" i="1"/>
  <c r="U17" i="1"/>
  <c r="V17" i="1"/>
  <c r="W17" i="1"/>
  <c r="X17" i="1"/>
  <c r="T18" i="1"/>
  <c r="U18" i="1"/>
  <c r="V18" i="1"/>
  <c r="W18" i="1"/>
  <c r="X18" i="1"/>
  <c r="T19" i="1"/>
  <c r="U19" i="1"/>
  <c r="V19" i="1"/>
  <c r="W19" i="1"/>
  <c r="X19" i="1"/>
  <c r="T20" i="1"/>
  <c r="U20" i="1"/>
  <c r="V20" i="1"/>
  <c r="W20" i="1"/>
  <c r="X20" i="1"/>
  <c r="T21" i="1"/>
  <c r="U21" i="1"/>
  <c r="V21" i="1"/>
  <c r="W21" i="1"/>
  <c r="X21" i="1"/>
  <c r="T22" i="1"/>
  <c r="U22" i="1"/>
  <c r="V22" i="1"/>
  <c r="W22" i="1"/>
  <c r="X22" i="1"/>
  <c r="T23" i="1"/>
  <c r="U23" i="1"/>
  <c r="V23" i="1"/>
  <c r="W23" i="1"/>
  <c r="X23" i="1"/>
  <c r="T24" i="1"/>
  <c r="U24" i="1"/>
  <c r="V24" i="1"/>
  <c r="W24" i="1"/>
  <c r="X24" i="1"/>
  <c r="T25" i="1"/>
  <c r="U25" i="1"/>
  <c r="V25" i="1"/>
  <c r="W25" i="1"/>
  <c r="X25" i="1"/>
  <c r="T26" i="1"/>
  <c r="U26" i="1"/>
  <c r="V26" i="1"/>
  <c r="W26" i="1"/>
  <c r="X26" i="1"/>
  <c r="T27" i="1"/>
  <c r="U27" i="1"/>
  <c r="V27" i="1"/>
  <c r="W27" i="1"/>
  <c r="X27" i="1"/>
  <c r="T28" i="1"/>
  <c r="U28" i="1"/>
  <c r="V28" i="1"/>
  <c r="W28" i="1"/>
  <c r="X28" i="1"/>
  <c r="T29" i="1"/>
  <c r="U29" i="1"/>
  <c r="V29" i="1"/>
  <c r="W29" i="1"/>
  <c r="X29" i="1"/>
  <c r="T30" i="1"/>
  <c r="U30" i="1"/>
  <c r="V30" i="1"/>
  <c r="W30" i="1"/>
  <c r="X30" i="1"/>
  <c r="T31" i="1"/>
  <c r="U31" i="1"/>
  <c r="V31" i="1"/>
  <c r="W31" i="1"/>
  <c r="X31" i="1"/>
  <c r="T32" i="1"/>
  <c r="U32" i="1"/>
  <c r="V32" i="1"/>
  <c r="W32" i="1"/>
  <c r="X32" i="1"/>
  <c r="T33" i="1"/>
  <c r="U33" i="1"/>
  <c r="V33" i="1"/>
  <c r="W33" i="1"/>
  <c r="X33" i="1"/>
  <c r="T34" i="1"/>
  <c r="U34" i="1"/>
  <c r="V34" i="1"/>
  <c r="W34" i="1"/>
  <c r="X34" i="1"/>
  <c r="T35" i="1"/>
  <c r="U35" i="1"/>
  <c r="V35" i="1"/>
  <c r="W35" i="1"/>
  <c r="X35" i="1"/>
  <c r="T36" i="1"/>
  <c r="U36" i="1"/>
  <c r="V36" i="1"/>
  <c r="W36" i="1"/>
  <c r="X36" i="1"/>
  <c r="T37" i="1"/>
  <c r="U37" i="1"/>
  <c r="V37" i="1"/>
  <c r="W37" i="1"/>
  <c r="X37" i="1"/>
  <c r="T38" i="1"/>
  <c r="U38" i="1"/>
  <c r="V38" i="1"/>
  <c r="W38" i="1"/>
  <c r="X38" i="1"/>
  <c r="T39" i="1"/>
  <c r="U39" i="1"/>
  <c r="V39" i="1"/>
  <c r="W39" i="1"/>
  <c r="X39" i="1"/>
  <c r="T40" i="1"/>
  <c r="U40" i="1"/>
  <c r="V40" i="1"/>
  <c r="W40" i="1"/>
  <c r="X40" i="1"/>
  <c r="T41" i="1"/>
  <c r="U41" i="1"/>
  <c r="V41" i="1"/>
  <c r="W41" i="1"/>
  <c r="X41" i="1"/>
  <c r="T42" i="1"/>
  <c r="U42" i="1"/>
  <c r="V42" i="1"/>
  <c r="W42" i="1"/>
  <c r="X42" i="1"/>
  <c r="T43" i="1"/>
  <c r="U43" i="1"/>
  <c r="V43" i="1"/>
  <c r="W43" i="1"/>
  <c r="X43" i="1"/>
  <c r="T44" i="1"/>
  <c r="U44" i="1"/>
  <c r="V44" i="1"/>
  <c r="W44" i="1"/>
  <c r="X44" i="1"/>
  <c r="T45" i="1"/>
  <c r="U45" i="1"/>
  <c r="V45" i="1"/>
  <c r="W45" i="1"/>
  <c r="X45" i="1"/>
  <c r="T46" i="1"/>
  <c r="U46" i="1"/>
  <c r="V46" i="1"/>
  <c r="W46" i="1"/>
  <c r="X46" i="1"/>
  <c r="T47" i="1"/>
  <c r="U47" i="1"/>
  <c r="V47" i="1"/>
  <c r="W47" i="1"/>
  <c r="X47" i="1"/>
  <c r="T48" i="1"/>
  <c r="U48" i="1"/>
  <c r="V48" i="1"/>
  <c r="W48" i="1"/>
  <c r="X48" i="1"/>
  <c r="T49" i="1"/>
  <c r="U49" i="1"/>
  <c r="V49" i="1"/>
  <c r="W49" i="1"/>
  <c r="X49" i="1"/>
  <c r="T50" i="1"/>
  <c r="U50" i="1"/>
  <c r="V50" i="1"/>
  <c r="W50" i="1"/>
  <c r="X50" i="1"/>
  <c r="T51" i="1"/>
  <c r="U51" i="1"/>
  <c r="V51" i="1"/>
  <c r="W51" i="1"/>
  <c r="X51" i="1"/>
  <c r="T52" i="1"/>
  <c r="U52" i="1"/>
  <c r="V52" i="1"/>
  <c r="W52" i="1"/>
  <c r="X52" i="1"/>
  <c r="T53" i="1"/>
  <c r="U53" i="1"/>
  <c r="V53" i="1"/>
  <c r="W53" i="1"/>
  <c r="X53" i="1"/>
  <c r="T54" i="1"/>
  <c r="U54" i="1"/>
  <c r="V54" i="1"/>
  <c r="W54" i="1"/>
  <c r="X54" i="1"/>
  <c r="T55" i="1"/>
  <c r="U55" i="1"/>
  <c r="V55" i="1"/>
  <c r="W55" i="1"/>
  <c r="X55" i="1"/>
  <c r="T56" i="1"/>
  <c r="U56" i="1"/>
  <c r="V56" i="1"/>
  <c r="W56" i="1"/>
  <c r="X56" i="1"/>
  <c r="T57" i="1"/>
  <c r="U57" i="1"/>
  <c r="V57" i="1"/>
  <c r="W57" i="1"/>
  <c r="X57" i="1"/>
  <c r="T58" i="1"/>
  <c r="U58" i="1"/>
  <c r="V58" i="1"/>
  <c r="W58" i="1"/>
  <c r="X58" i="1"/>
  <c r="T59" i="1"/>
  <c r="U59" i="1"/>
  <c r="V59" i="1"/>
  <c r="W59" i="1"/>
  <c r="X59" i="1"/>
  <c r="T60" i="1"/>
  <c r="U60" i="1"/>
  <c r="V60" i="1"/>
  <c r="W60" i="1"/>
  <c r="X60" i="1"/>
  <c r="T61" i="1"/>
  <c r="U61" i="1"/>
  <c r="V61" i="1"/>
  <c r="W61" i="1"/>
  <c r="X61" i="1"/>
  <c r="T62" i="1"/>
  <c r="U62" i="1"/>
  <c r="V62" i="1"/>
  <c r="W62" i="1"/>
  <c r="X62" i="1"/>
  <c r="T63" i="1"/>
  <c r="U63" i="1"/>
  <c r="V63" i="1"/>
  <c r="W63" i="1"/>
  <c r="X63" i="1"/>
  <c r="T64" i="1"/>
  <c r="U64" i="1"/>
  <c r="V64" i="1"/>
  <c r="W64" i="1"/>
  <c r="X64" i="1"/>
  <c r="T65" i="1"/>
  <c r="U65" i="1"/>
  <c r="V65" i="1"/>
  <c r="W65" i="1"/>
  <c r="X65" i="1"/>
  <c r="T66" i="1"/>
  <c r="U66" i="1"/>
  <c r="V66" i="1"/>
  <c r="W66" i="1"/>
  <c r="X66" i="1"/>
  <c r="T67" i="1"/>
  <c r="U67" i="1"/>
  <c r="V67" i="1"/>
  <c r="W67" i="1"/>
  <c r="X67" i="1"/>
  <c r="T68" i="1"/>
  <c r="U68" i="1"/>
  <c r="V68" i="1"/>
  <c r="W68" i="1"/>
  <c r="X68" i="1"/>
  <c r="T69" i="1"/>
  <c r="U69" i="1"/>
  <c r="V69" i="1"/>
  <c r="W69" i="1"/>
  <c r="X69" i="1"/>
  <c r="U2" i="1"/>
  <c r="V2" i="1"/>
  <c r="W2" i="1"/>
  <c r="X2" i="1"/>
  <c r="T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2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2" i="1"/>
</calcChain>
</file>

<file path=xl/sharedStrings.xml><?xml version="1.0" encoding="utf-8"?>
<sst xmlns="http://schemas.openxmlformats.org/spreadsheetml/2006/main" count="593" uniqueCount="149">
  <si>
    <t>Words_Text</t>
  </si>
  <si>
    <t>counts</t>
  </si>
  <si>
    <t>English_Name</t>
  </si>
  <si>
    <t>美国</t>
  </si>
  <si>
    <t>United States</t>
  </si>
  <si>
    <t>中国</t>
  </si>
  <si>
    <t>China</t>
  </si>
  <si>
    <t>伊朗</t>
  </si>
  <si>
    <t>Iran</t>
  </si>
  <si>
    <t>日本</t>
  </si>
  <si>
    <t>Japan</t>
  </si>
  <si>
    <t>俄罗斯</t>
  </si>
  <si>
    <t>Russia</t>
  </si>
  <si>
    <t>乌克兰</t>
  </si>
  <si>
    <t>Ukraine</t>
  </si>
  <si>
    <t>以色列</t>
  </si>
  <si>
    <t>Israel</t>
  </si>
  <si>
    <t>英国</t>
  </si>
  <si>
    <t>United Kingdom</t>
  </si>
  <si>
    <t>加拿大</t>
  </si>
  <si>
    <t>Canada</t>
  </si>
  <si>
    <t>委内瑞拉</t>
  </si>
  <si>
    <t>Venezuela</t>
  </si>
  <si>
    <t>丹麦</t>
  </si>
  <si>
    <t>Denmark</t>
  </si>
  <si>
    <t>印度</t>
  </si>
  <si>
    <t>India</t>
  </si>
  <si>
    <t>叙利亚</t>
  </si>
  <si>
    <t>Syria</t>
  </si>
  <si>
    <t>法国</t>
  </si>
  <si>
    <t>France</t>
  </si>
  <si>
    <t>巴拿马</t>
  </si>
  <si>
    <t>Panama</t>
  </si>
  <si>
    <t>德国</t>
  </si>
  <si>
    <t>Germany</t>
  </si>
  <si>
    <t>立陶宛</t>
  </si>
  <si>
    <t>Lithuania</t>
  </si>
  <si>
    <t>韩国</t>
  </si>
  <si>
    <t>South Korea</t>
  </si>
  <si>
    <t>格陵兰</t>
  </si>
  <si>
    <t>Greenland</t>
  </si>
  <si>
    <t>台湾</t>
  </si>
  <si>
    <t>Taiwan</t>
  </si>
  <si>
    <t>挪威</t>
  </si>
  <si>
    <t>Norway</t>
  </si>
  <si>
    <t>朝鲜</t>
  </si>
  <si>
    <t>North Korea</t>
  </si>
  <si>
    <t>巴基斯坦</t>
  </si>
  <si>
    <t>Pakistan</t>
  </si>
  <si>
    <t>伊拉克</t>
  </si>
  <si>
    <t>Iraq</t>
  </si>
  <si>
    <t>波兰</t>
  </si>
  <si>
    <t>Poland</t>
  </si>
  <si>
    <t>意大利</t>
  </si>
  <si>
    <t>Italy</t>
  </si>
  <si>
    <t>芬兰</t>
  </si>
  <si>
    <t>Finland</t>
  </si>
  <si>
    <t>荷兰</t>
  </si>
  <si>
    <t>Netherlands</t>
  </si>
  <si>
    <t>土耳其</t>
  </si>
  <si>
    <t>Turkey</t>
  </si>
  <si>
    <t>巴勒斯坦</t>
  </si>
  <si>
    <t>Palestine</t>
  </si>
  <si>
    <t>泰国</t>
  </si>
  <si>
    <t>Thailand</t>
  </si>
  <si>
    <t>瑞士</t>
  </si>
  <si>
    <t>Switzerland</t>
  </si>
  <si>
    <t>柬埔寨</t>
  </si>
  <si>
    <t>Cambodia</t>
  </si>
  <si>
    <t>瑞典</t>
  </si>
  <si>
    <t>Sweden</t>
  </si>
  <si>
    <t>白俄罗斯</t>
  </si>
  <si>
    <t>Belarus</t>
  </si>
  <si>
    <t>越南</t>
  </si>
  <si>
    <t>Vietnam</t>
  </si>
  <si>
    <t>卡塔尔</t>
  </si>
  <si>
    <t>Qatar</t>
  </si>
  <si>
    <t>澳大利亚</t>
  </si>
  <si>
    <t>Australia</t>
  </si>
  <si>
    <t>阿富汗</t>
  </si>
  <si>
    <t>Afghanistan</t>
  </si>
  <si>
    <t>埃及</t>
  </si>
  <si>
    <t>Egypt</t>
  </si>
  <si>
    <t>阿曼</t>
  </si>
  <si>
    <t>Oman</t>
  </si>
  <si>
    <t>阿根廷</t>
  </si>
  <si>
    <t>Argentina</t>
  </si>
  <si>
    <t>约旦</t>
  </si>
  <si>
    <t>Jordan</t>
  </si>
  <si>
    <t>爱沙尼亚</t>
  </si>
  <si>
    <t>Estonia</t>
  </si>
  <si>
    <t>古巴</t>
  </si>
  <si>
    <t>Cuba</t>
  </si>
  <si>
    <t>利比亚</t>
  </si>
  <si>
    <t>Libya</t>
  </si>
  <si>
    <t>罗马尼亚</t>
  </si>
  <si>
    <t>Romania</t>
  </si>
  <si>
    <t>西班牙</t>
  </si>
  <si>
    <t>Spain</t>
  </si>
  <si>
    <t>东帝汶</t>
  </si>
  <si>
    <t>East Timor</t>
  </si>
  <si>
    <t>沙特阿拉伯</t>
  </si>
  <si>
    <t>Saudi Arabia</t>
  </si>
  <si>
    <t>哈萨克斯坦</t>
  </si>
  <si>
    <t>Kazakhstan</t>
  </si>
  <si>
    <t>比利时</t>
  </si>
  <si>
    <t>Belgium</t>
  </si>
  <si>
    <t>新加坡</t>
  </si>
  <si>
    <t>Singapore</t>
  </si>
  <si>
    <t>冰岛</t>
  </si>
  <si>
    <t>Iceland</t>
  </si>
  <si>
    <t>尼泊尔</t>
  </si>
  <si>
    <t>Nepal</t>
  </si>
  <si>
    <t>匈牙利</t>
  </si>
  <si>
    <t>Hungary</t>
  </si>
  <si>
    <t>塞尔维亚</t>
  </si>
  <si>
    <t>Serbia</t>
  </si>
  <si>
    <t>卢旺达</t>
  </si>
  <si>
    <t>Rwanda</t>
  </si>
  <si>
    <t>塔吉克斯坦</t>
  </si>
  <si>
    <t>Tajikistan</t>
  </si>
  <si>
    <t>卢森堡</t>
  </si>
  <si>
    <t>Luxembourg</t>
  </si>
  <si>
    <t>也门</t>
  </si>
  <si>
    <t>Yemen</t>
  </si>
  <si>
    <t>塞内加尔</t>
  </si>
  <si>
    <t>Senegal</t>
  </si>
  <si>
    <t>哥伦比亚</t>
  </si>
  <si>
    <t>Colombia</t>
  </si>
  <si>
    <t>玻利维亚</t>
  </si>
  <si>
    <t>Bolivia</t>
  </si>
  <si>
    <t>尼日利亚</t>
  </si>
  <si>
    <t>Nigeria</t>
  </si>
  <si>
    <t>巴西</t>
  </si>
  <si>
    <t>Brazil</t>
  </si>
  <si>
    <t>拉脱维亚</t>
  </si>
  <si>
    <t>Latvia</t>
  </si>
  <si>
    <t>黎巴嫩</t>
  </si>
  <si>
    <t>Lebanon</t>
  </si>
  <si>
    <t>counts5</t>
  </si>
  <si>
    <t>count4</t>
  </si>
  <si>
    <t>count3</t>
  </si>
  <si>
    <t>count2</t>
  </si>
  <si>
    <t>count1</t>
  </si>
  <si>
    <t>counts5diff</t>
  </si>
  <si>
    <t>count4diff</t>
  </si>
  <si>
    <t>count3diff</t>
  </si>
  <si>
    <t>count2diff</t>
  </si>
  <si>
    <t>count1diff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</si>
</sst>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2" fillId="0" borderId="0" xfId="0" applyFont="1"/>
    <xf numFmtId="164" fontId="0" fillId="0" borderId="0" xfId="1" applyNumberFormat="1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"/>
  <sheetViews>
    <sheetView tabSelected="1" topLeftCell="O1" workbookViewId="0">
      <selection activeCell="AL8" sqref="AL8"/>
    </sheetView>
  </sheetViews>
  <sheetFormatPr baseColWidth="10" defaultColWidth="8.83203125" defaultRowHeight="15" x14ac:dyDescent="0.2"/>
  <cols>
    <col min="2" max="2" width="10.33203125" bestFit="1" customWidth="1"/>
    <col min="3" max="3" width="13.5" bestFit="1" customWidth="1"/>
    <col min="11" max="11" width="13.5" bestFit="1" customWidth="1"/>
    <col min="12" max="12" width="7.33203125" bestFit="1" customWidth="1"/>
    <col min="13" max="16" width="6.6640625" bestFit="1" customWidth="1"/>
    <col min="19" max="19" width="13.5" bestFit="1" customWidth="1"/>
    <col min="20" max="20" width="9.83203125" bestFit="1" customWidth="1"/>
    <col min="21" max="23" width="9.1640625" bestFit="1" customWidth="1"/>
    <col min="26" max="26" width="9.83203125" bestFit="1" customWidth="1"/>
    <col min="27" max="30" width="9.1640625" bestFit="1" customWidth="1"/>
    <col min="31" max="31" width="9.83203125" style="5" bestFit="1" customWidth="1"/>
    <col min="32" max="34" width="9.1640625" style="5" bestFit="1" customWidth="1"/>
    <col min="35" max="35" width="13.5" bestFit="1" customWidth="1"/>
  </cols>
  <sheetData>
    <row r="1" spans="1:35" x14ac:dyDescent="0.2">
      <c r="B1" s="1" t="s">
        <v>0</v>
      </c>
      <c r="C1" s="1" t="s">
        <v>2</v>
      </c>
      <c r="D1" s="1" t="s">
        <v>139</v>
      </c>
      <c r="E1" s="2" t="s">
        <v>140</v>
      </c>
      <c r="F1" s="3" t="s">
        <v>141</v>
      </c>
      <c r="G1" s="3" t="s">
        <v>142</v>
      </c>
      <c r="H1" s="3" t="s">
        <v>143</v>
      </c>
      <c r="K1" s="4" t="s">
        <v>2</v>
      </c>
      <c r="L1" s="4" t="s">
        <v>139</v>
      </c>
      <c r="M1" s="4" t="s">
        <v>140</v>
      </c>
      <c r="N1" s="4" t="s">
        <v>141</v>
      </c>
      <c r="O1" s="4" t="s">
        <v>142</v>
      </c>
      <c r="P1" s="4" t="s">
        <v>143</v>
      </c>
      <c r="S1" s="4" t="s">
        <v>2</v>
      </c>
      <c r="T1" s="4" t="s">
        <v>144</v>
      </c>
      <c r="U1" s="4" t="s">
        <v>145</v>
      </c>
      <c r="V1" s="4" t="s">
        <v>146</v>
      </c>
      <c r="W1" s="4" t="s">
        <v>147</v>
      </c>
      <c r="X1" s="4" t="s">
        <v>148</v>
      </c>
      <c r="Z1" s="4" t="s">
        <v>144</v>
      </c>
      <c r="AA1" s="4" t="s">
        <v>145</v>
      </c>
      <c r="AB1" s="4" t="s">
        <v>146</v>
      </c>
      <c r="AC1" s="4" t="s">
        <v>147</v>
      </c>
      <c r="AD1" s="4"/>
      <c r="AE1" s="6" t="s">
        <v>144</v>
      </c>
      <c r="AF1" s="6" t="s">
        <v>145</v>
      </c>
      <c r="AG1" s="6" t="s">
        <v>146</v>
      </c>
      <c r="AH1" s="6" t="s">
        <v>147</v>
      </c>
      <c r="AI1" s="4" t="s">
        <v>2</v>
      </c>
    </row>
    <row r="2" spans="1:35" x14ac:dyDescent="0.2">
      <c r="A2" s="1">
        <v>0</v>
      </c>
      <c r="B2" t="s">
        <v>3</v>
      </c>
      <c r="C2" t="s">
        <v>4</v>
      </c>
      <c r="D2">
        <v>528</v>
      </c>
      <c r="E2">
        <f>VLOOKUP(C2,Week4!$A$2:$B$67,2,FALSE)</f>
        <v>439</v>
      </c>
      <c r="F2">
        <f>VLOOKUP(C2,Week3!$A$2:$B$61,2,FALSE)</f>
        <v>351</v>
      </c>
      <c r="G2">
        <f>VLOOKUP(C2,Week2!$A$2:$B$54,2,FALSE)</f>
        <v>246</v>
      </c>
      <c r="H2">
        <f>VLOOKUP(C2,Week1!$A$2:$B$39,2,FALSE)</f>
        <v>94</v>
      </c>
      <c r="K2" t="s">
        <v>4</v>
      </c>
      <c r="L2">
        <v>528</v>
      </c>
      <c r="M2">
        <v>439</v>
      </c>
      <c r="N2">
        <v>351</v>
      </c>
      <c r="O2">
        <v>246</v>
      </c>
      <c r="P2">
        <v>94</v>
      </c>
      <c r="S2" t="s">
        <v>4</v>
      </c>
      <c r="T2">
        <f>L2-M2</f>
        <v>89</v>
      </c>
      <c r="U2">
        <f t="shared" ref="U2:X2" si="0">M2-N2</f>
        <v>88</v>
      </c>
      <c r="V2">
        <f t="shared" si="0"/>
        <v>105</v>
      </c>
      <c r="W2">
        <f t="shared" si="0"/>
        <v>152</v>
      </c>
      <c r="X2">
        <f t="shared" si="0"/>
        <v>94</v>
      </c>
      <c r="Z2" s="5">
        <f>(T2-U2)/U2</f>
        <v>1.1363636363636364E-2</v>
      </c>
      <c r="AA2" s="5">
        <f t="shared" ref="AA2:AD2" si="1">(U2-V2)/V2</f>
        <v>-0.16190476190476191</v>
      </c>
      <c r="AB2" s="5">
        <f t="shared" si="1"/>
        <v>-0.30921052631578949</v>
      </c>
      <c r="AC2" s="5">
        <f t="shared" si="1"/>
        <v>0.61702127659574468</v>
      </c>
      <c r="AD2" s="5"/>
      <c r="AE2" s="5">
        <v>1.1363636363636364E-2</v>
      </c>
      <c r="AF2" s="5">
        <v>-0.16190476190476191</v>
      </c>
      <c r="AG2" s="5">
        <v>-0.30921052631578949</v>
      </c>
      <c r="AH2" s="5">
        <v>0.61702127659574468</v>
      </c>
      <c r="AI2" t="s">
        <v>4</v>
      </c>
    </row>
    <row r="3" spans="1:35" x14ac:dyDescent="0.2">
      <c r="A3" s="1">
        <v>1</v>
      </c>
      <c r="B3" t="s">
        <v>5</v>
      </c>
      <c r="C3" t="s">
        <v>6</v>
      </c>
      <c r="D3">
        <v>312</v>
      </c>
      <c r="E3">
        <f>VLOOKUP(C3,Week4!$A$2:$B$67,2,FALSE)</f>
        <v>243</v>
      </c>
      <c r="F3">
        <f>VLOOKUP(C3,Week3!$A$2:$B$61,2,FALSE)</f>
        <v>190</v>
      </c>
      <c r="G3">
        <f>VLOOKUP(C3,Week2!$A$2:$B$54,2,FALSE)</f>
        <v>127</v>
      </c>
      <c r="H3">
        <f>VLOOKUP(C3,Week1!$A$2:$B$39,2,FALSE)</f>
        <v>37</v>
      </c>
      <c r="K3" t="s">
        <v>6</v>
      </c>
      <c r="L3">
        <v>312</v>
      </c>
      <c r="M3">
        <v>243</v>
      </c>
      <c r="N3">
        <v>190</v>
      </c>
      <c r="O3">
        <v>127</v>
      </c>
      <c r="P3">
        <v>37</v>
      </c>
      <c r="S3" t="s">
        <v>6</v>
      </c>
      <c r="T3">
        <f t="shared" ref="T3:T66" si="2">L3-M3</f>
        <v>69</v>
      </c>
      <c r="U3">
        <f t="shared" ref="U3:U66" si="3">M3-N3</f>
        <v>53</v>
      </c>
      <c r="V3">
        <f t="shared" ref="V3:V66" si="4">N3-O3</f>
        <v>63</v>
      </c>
      <c r="W3">
        <f t="shared" ref="W3:W66" si="5">O3-P3</f>
        <v>90</v>
      </c>
      <c r="X3">
        <f t="shared" ref="X3:X66" si="6">P3-Q3</f>
        <v>37</v>
      </c>
      <c r="Z3" s="5">
        <f t="shared" ref="Z3:Z66" si="7">(T3-U3)/U3</f>
        <v>0.30188679245283018</v>
      </c>
      <c r="AA3" s="5">
        <f t="shared" ref="AA3:AA66" si="8">(U3-V3)/V3</f>
        <v>-0.15873015873015872</v>
      </c>
      <c r="AB3" s="5">
        <f t="shared" ref="AB3:AB66" si="9">(V3-W3)/W3</f>
        <v>-0.3</v>
      </c>
      <c r="AC3" s="5">
        <f t="shared" ref="AC3:AC66" si="10">(W3-X3)/X3</f>
        <v>1.4324324324324325</v>
      </c>
      <c r="AE3" s="5">
        <v>0.30188679245283018</v>
      </c>
      <c r="AF3" s="5">
        <v>-0.15873015873015872</v>
      </c>
      <c r="AG3" s="5">
        <v>-0.3</v>
      </c>
      <c r="AH3" s="5">
        <v>1.4324324324324325</v>
      </c>
      <c r="AI3" t="s">
        <v>6</v>
      </c>
    </row>
    <row r="4" spans="1:35" x14ac:dyDescent="0.2">
      <c r="A4" s="1">
        <v>2</v>
      </c>
      <c r="B4" t="s">
        <v>7</v>
      </c>
      <c r="C4" t="s">
        <v>8</v>
      </c>
      <c r="D4">
        <v>296</v>
      </c>
      <c r="E4">
        <f>VLOOKUP(C4,Week4!$A$2:$B$67,2,FALSE)</f>
        <v>270</v>
      </c>
      <c r="F4">
        <f>VLOOKUP(C4,Week3!$A$2:$B$61,2,FALSE)</f>
        <v>219</v>
      </c>
      <c r="G4">
        <f>VLOOKUP(C4,Week2!$A$2:$B$54,2,FALSE)</f>
        <v>106</v>
      </c>
      <c r="H4">
        <f>VLOOKUP(C4,Week1!$A$2:$B$39,2,FALSE)</f>
        <v>53</v>
      </c>
      <c r="K4" t="s">
        <v>8</v>
      </c>
      <c r="L4">
        <v>296</v>
      </c>
      <c r="M4">
        <v>270</v>
      </c>
      <c r="N4">
        <v>219</v>
      </c>
      <c r="O4">
        <v>106</v>
      </c>
      <c r="P4">
        <v>53</v>
      </c>
      <c r="S4" t="s">
        <v>8</v>
      </c>
      <c r="T4">
        <f t="shared" si="2"/>
        <v>26</v>
      </c>
      <c r="U4">
        <f t="shared" si="3"/>
        <v>51</v>
      </c>
      <c r="V4">
        <f t="shared" si="4"/>
        <v>113</v>
      </c>
      <c r="W4">
        <f t="shared" si="5"/>
        <v>53</v>
      </c>
      <c r="X4">
        <f t="shared" si="6"/>
        <v>53</v>
      </c>
      <c r="Z4" s="5">
        <f t="shared" si="7"/>
        <v>-0.49019607843137253</v>
      </c>
      <c r="AA4" s="5">
        <f t="shared" si="8"/>
        <v>-0.54867256637168138</v>
      </c>
      <c r="AB4" s="5">
        <f t="shared" si="9"/>
        <v>1.1320754716981132</v>
      </c>
      <c r="AC4" s="5">
        <f t="shared" si="10"/>
        <v>0</v>
      </c>
      <c r="AE4" s="5">
        <v>-0.49019607843137253</v>
      </c>
      <c r="AF4" s="5">
        <v>-0.54867256637168138</v>
      </c>
      <c r="AG4" s="5">
        <v>1.1320754716981132</v>
      </c>
      <c r="AH4" s="5">
        <v>0</v>
      </c>
      <c r="AI4" t="s">
        <v>8</v>
      </c>
    </row>
    <row r="5" spans="1:35" x14ac:dyDescent="0.2">
      <c r="A5" s="1">
        <v>3</v>
      </c>
      <c r="B5" t="s">
        <v>9</v>
      </c>
      <c r="C5" t="s">
        <v>10</v>
      </c>
      <c r="D5">
        <v>262</v>
      </c>
      <c r="E5">
        <f>VLOOKUP(C5,Week4!$A$2:$B$67,2,FALSE)</f>
        <v>184</v>
      </c>
      <c r="F5">
        <f>VLOOKUP(C5,Week3!$A$2:$B$61,2,FALSE)</f>
        <v>111</v>
      </c>
      <c r="G5">
        <f>VLOOKUP(C5,Week2!$A$2:$B$54,2,FALSE)</f>
        <v>77</v>
      </c>
      <c r="H5">
        <f>VLOOKUP(C5,Week1!$A$2:$B$39,2,FALSE)</f>
        <v>11</v>
      </c>
      <c r="K5" t="s">
        <v>10</v>
      </c>
      <c r="L5">
        <v>262</v>
      </c>
      <c r="M5">
        <v>184</v>
      </c>
      <c r="N5">
        <v>111</v>
      </c>
      <c r="O5">
        <v>77</v>
      </c>
      <c r="P5">
        <v>11</v>
      </c>
      <c r="S5" t="s">
        <v>10</v>
      </c>
      <c r="T5">
        <f t="shared" si="2"/>
        <v>78</v>
      </c>
      <c r="U5">
        <f t="shared" si="3"/>
        <v>73</v>
      </c>
      <c r="V5">
        <f t="shared" si="4"/>
        <v>34</v>
      </c>
      <c r="W5">
        <f t="shared" si="5"/>
        <v>66</v>
      </c>
      <c r="X5">
        <f t="shared" si="6"/>
        <v>11</v>
      </c>
      <c r="Z5" s="5">
        <f t="shared" si="7"/>
        <v>6.8493150684931503E-2</v>
      </c>
      <c r="AA5" s="5">
        <f t="shared" si="8"/>
        <v>1.1470588235294117</v>
      </c>
      <c r="AB5" s="5">
        <f t="shared" si="9"/>
        <v>-0.48484848484848486</v>
      </c>
      <c r="AC5" s="5">
        <f t="shared" si="10"/>
        <v>5</v>
      </c>
      <c r="AE5" s="5">
        <v>6.8493150684931503E-2</v>
      </c>
      <c r="AF5" s="5">
        <v>1.1470588235294117</v>
      </c>
      <c r="AG5" s="5">
        <v>-0.48484848484848486</v>
      </c>
      <c r="AH5" s="5">
        <v>5</v>
      </c>
      <c r="AI5" t="s">
        <v>10</v>
      </c>
    </row>
    <row r="6" spans="1:35" x14ac:dyDescent="0.2">
      <c r="A6" s="1">
        <v>4</v>
      </c>
      <c r="B6" t="s">
        <v>11</v>
      </c>
      <c r="C6" t="s">
        <v>12</v>
      </c>
      <c r="D6">
        <v>240</v>
      </c>
      <c r="E6">
        <f>VLOOKUP(C6,Week4!$A$2:$B$67,2,FALSE)</f>
        <v>192</v>
      </c>
      <c r="F6">
        <f>VLOOKUP(C6,Week3!$A$2:$B$61,2,FALSE)</f>
        <v>158</v>
      </c>
      <c r="G6">
        <f>VLOOKUP(C6,Week2!$A$2:$B$54,2,FALSE)</f>
        <v>100</v>
      </c>
      <c r="H6">
        <f>VLOOKUP(C6,Week1!$A$2:$B$39,2,FALSE)</f>
        <v>32</v>
      </c>
      <c r="K6" t="s">
        <v>12</v>
      </c>
      <c r="L6">
        <v>240</v>
      </c>
      <c r="M6">
        <v>192</v>
      </c>
      <c r="N6">
        <v>158</v>
      </c>
      <c r="O6">
        <v>100</v>
      </c>
      <c r="P6">
        <v>32</v>
      </c>
      <c r="S6" t="s">
        <v>12</v>
      </c>
      <c r="T6">
        <f t="shared" si="2"/>
        <v>48</v>
      </c>
      <c r="U6">
        <f t="shared" si="3"/>
        <v>34</v>
      </c>
      <c r="V6">
        <f t="shared" si="4"/>
        <v>58</v>
      </c>
      <c r="W6">
        <f t="shared" si="5"/>
        <v>68</v>
      </c>
      <c r="X6">
        <f t="shared" si="6"/>
        <v>32</v>
      </c>
      <c r="Z6" s="5">
        <f t="shared" si="7"/>
        <v>0.41176470588235292</v>
      </c>
      <c r="AA6" s="5">
        <f t="shared" si="8"/>
        <v>-0.41379310344827586</v>
      </c>
      <c r="AB6" s="5">
        <f t="shared" si="9"/>
        <v>-0.14705882352941177</v>
      </c>
      <c r="AC6" s="5">
        <f t="shared" si="10"/>
        <v>1.125</v>
      </c>
      <c r="AE6" s="5">
        <v>0.41176470588235292</v>
      </c>
      <c r="AF6" s="5">
        <v>-0.41379310344827586</v>
      </c>
      <c r="AG6" s="5">
        <v>-0.14705882352941177</v>
      </c>
      <c r="AH6" s="5">
        <v>1.125</v>
      </c>
      <c r="AI6" t="s">
        <v>12</v>
      </c>
    </row>
    <row r="7" spans="1:35" x14ac:dyDescent="0.2">
      <c r="A7" s="1">
        <v>5</v>
      </c>
      <c r="B7" t="s">
        <v>13</v>
      </c>
      <c r="C7" t="s">
        <v>14</v>
      </c>
      <c r="D7">
        <v>205</v>
      </c>
      <c r="E7">
        <f>VLOOKUP(C7,Week4!$A$2:$B$67,2,FALSE)</f>
        <v>153</v>
      </c>
      <c r="F7">
        <f>VLOOKUP(C7,Week3!$A$2:$B$61,2,FALSE)</f>
        <v>100</v>
      </c>
      <c r="G7">
        <f>VLOOKUP(C7,Week2!$A$2:$B$54,2,FALSE)</f>
        <v>60</v>
      </c>
      <c r="H7">
        <f>VLOOKUP(C7,Week1!$A$2:$B$39,2,FALSE)</f>
        <v>19</v>
      </c>
      <c r="K7" t="s">
        <v>14</v>
      </c>
      <c r="L7">
        <v>205</v>
      </c>
      <c r="M7">
        <v>153</v>
      </c>
      <c r="N7">
        <v>100</v>
      </c>
      <c r="O7">
        <v>60</v>
      </c>
      <c r="P7">
        <v>19</v>
      </c>
      <c r="S7" t="s">
        <v>14</v>
      </c>
      <c r="T7">
        <f t="shared" si="2"/>
        <v>52</v>
      </c>
      <c r="U7">
        <f t="shared" si="3"/>
        <v>53</v>
      </c>
      <c r="V7">
        <f t="shared" si="4"/>
        <v>40</v>
      </c>
      <c r="W7">
        <f t="shared" si="5"/>
        <v>41</v>
      </c>
      <c r="X7">
        <f t="shared" si="6"/>
        <v>19</v>
      </c>
      <c r="Z7" s="5">
        <f t="shared" si="7"/>
        <v>-1.8867924528301886E-2</v>
      </c>
      <c r="AA7" s="5">
        <f t="shared" si="8"/>
        <v>0.32500000000000001</v>
      </c>
      <c r="AB7" s="5">
        <f t="shared" si="9"/>
        <v>-2.4390243902439025E-2</v>
      </c>
      <c r="AC7" s="5">
        <f t="shared" si="10"/>
        <v>1.1578947368421053</v>
      </c>
      <c r="AE7" s="5">
        <v>-1.8867924528301886E-2</v>
      </c>
      <c r="AF7" s="5">
        <v>0.32500000000000001</v>
      </c>
      <c r="AG7" s="5">
        <v>-2.4390243902439025E-2</v>
      </c>
      <c r="AH7" s="5">
        <v>1.1578947368421053</v>
      </c>
      <c r="AI7" t="s">
        <v>14</v>
      </c>
    </row>
    <row r="8" spans="1:35" x14ac:dyDescent="0.2">
      <c r="A8" s="1">
        <v>6</v>
      </c>
      <c r="B8" t="s">
        <v>15</v>
      </c>
      <c r="C8" t="s">
        <v>16</v>
      </c>
      <c r="D8">
        <v>64</v>
      </c>
      <c r="E8">
        <f>VLOOKUP(C8,Week4!$A$2:$B$67,2,FALSE)</f>
        <v>53</v>
      </c>
      <c r="F8">
        <f>VLOOKUP(C8,Week3!$A$2:$B$61,2,FALSE)</f>
        <v>46</v>
      </c>
      <c r="G8">
        <f>VLOOKUP(C8,Week2!$A$2:$B$54,2,FALSE)</f>
        <v>26</v>
      </c>
      <c r="H8">
        <f>VLOOKUP(C8,Week1!$A$2:$B$39,2,FALSE)</f>
        <v>5</v>
      </c>
      <c r="K8" t="s">
        <v>16</v>
      </c>
      <c r="L8">
        <v>64</v>
      </c>
      <c r="M8">
        <v>53</v>
      </c>
      <c r="N8">
        <v>46</v>
      </c>
      <c r="O8">
        <v>26</v>
      </c>
      <c r="P8">
        <v>5</v>
      </c>
      <c r="S8" t="s">
        <v>16</v>
      </c>
      <c r="T8">
        <f t="shared" si="2"/>
        <v>11</v>
      </c>
      <c r="U8">
        <f t="shared" si="3"/>
        <v>7</v>
      </c>
      <c r="V8">
        <f t="shared" si="4"/>
        <v>20</v>
      </c>
      <c r="W8">
        <f t="shared" si="5"/>
        <v>21</v>
      </c>
      <c r="X8">
        <f t="shared" si="6"/>
        <v>5</v>
      </c>
      <c r="Z8" s="5">
        <f t="shared" si="7"/>
        <v>0.5714285714285714</v>
      </c>
      <c r="AA8" s="5">
        <f t="shared" si="8"/>
        <v>-0.65</v>
      </c>
      <c r="AB8" s="5">
        <f t="shared" si="9"/>
        <v>-4.7619047619047616E-2</v>
      </c>
      <c r="AC8" s="5">
        <f t="shared" si="10"/>
        <v>3.2</v>
      </c>
      <c r="AE8" s="5">
        <v>0.5714285714285714</v>
      </c>
      <c r="AF8" s="5">
        <v>-0.65</v>
      </c>
      <c r="AG8" s="5">
        <v>-4.7619047619047616E-2</v>
      </c>
      <c r="AH8" s="5">
        <v>3.2</v>
      </c>
      <c r="AI8" t="s">
        <v>16</v>
      </c>
    </row>
    <row r="9" spans="1:35" x14ac:dyDescent="0.2">
      <c r="A9" s="1">
        <v>7</v>
      </c>
      <c r="B9" t="s">
        <v>17</v>
      </c>
      <c r="C9" t="s">
        <v>18</v>
      </c>
      <c r="D9">
        <v>62</v>
      </c>
      <c r="E9">
        <f>VLOOKUP(C9,Week4!$A$2:$B$67,2,FALSE)</f>
        <v>53</v>
      </c>
      <c r="F9">
        <f>VLOOKUP(C9,Week3!$A$2:$B$61,2,FALSE)</f>
        <v>41</v>
      </c>
      <c r="G9">
        <f>VLOOKUP(C9,Week2!$A$2:$B$54,2,FALSE)</f>
        <v>15</v>
      </c>
      <c r="H9">
        <f>VLOOKUP(C9,Week1!$A$2:$B$39,2,FALSE)</f>
        <v>7</v>
      </c>
      <c r="K9" t="s">
        <v>18</v>
      </c>
      <c r="L9">
        <v>62</v>
      </c>
      <c r="M9">
        <v>53</v>
      </c>
      <c r="N9">
        <v>41</v>
      </c>
      <c r="O9">
        <v>15</v>
      </c>
      <c r="P9">
        <v>7</v>
      </c>
      <c r="S9" t="s">
        <v>18</v>
      </c>
      <c r="T9">
        <f t="shared" si="2"/>
        <v>9</v>
      </c>
      <c r="U9">
        <f t="shared" si="3"/>
        <v>12</v>
      </c>
      <c r="V9">
        <f t="shared" si="4"/>
        <v>26</v>
      </c>
      <c r="W9">
        <f t="shared" si="5"/>
        <v>8</v>
      </c>
      <c r="X9">
        <f t="shared" si="6"/>
        <v>7</v>
      </c>
      <c r="Z9" s="5">
        <f t="shared" si="7"/>
        <v>-0.25</v>
      </c>
      <c r="AA9" s="5">
        <f t="shared" si="8"/>
        <v>-0.53846153846153844</v>
      </c>
      <c r="AB9" s="5">
        <f t="shared" si="9"/>
        <v>2.25</v>
      </c>
      <c r="AC9" s="5">
        <f t="shared" si="10"/>
        <v>0.14285714285714285</v>
      </c>
      <c r="AE9" s="5">
        <v>-0.25</v>
      </c>
      <c r="AF9" s="5">
        <v>-0.53846153846153844</v>
      </c>
      <c r="AG9" s="5">
        <v>2.25</v>
      </c>
      <c r="AH9" s="5">
        <v>0.14285714285714285</v>
      </c>
      <c r="AI9" t="s">
        <v>18</v>
      </c>
    </row>
    <row r="10" spans="1:35" x14ac:dyDescent="0.2">
      <c r="A10" s="1">
        <v>8</v>
      </c>
      <c r="B10" t="s">
        <v>19</v>
      </c>
      <c r="C10" t="s">
        <v>20</v>
      </c>
      <c r="D10">
        <v>61</v>
      </c>
      <c r="E10">
        <f>VLOOKUP(C10,Week4!$A$2:$B$67,2,FALSE)</f>
        <v>49</v>
      </c>
      <c r="F10">
        <f>VLOOKUP(C10,Week3!$A$2:$B$61,2,FALSE)</f>
        <v>47</v>
      </c>
      <c r="G10">
        <f>VLOOKUP(C10,Week2!$A$2:$B$54,2,FALSE)</f>
        <v>41</v>
      </c>
      <c r="H10">
        <f>VLOOKUP(C10,Week1!$A$2:$B$39,2,FALSE)</f>
        <v>4</v>
      </c>
      <c r="K10" t="s">
        <v>20</v>
      </c>
      <c r="L10">
        <v>61</v>
      </c>
      <c r="M10">
        <v>49</v>
      </c>
      <c r="N10">
        <v>47</v>
      </c>
      <c r="O10">
        <v>41</v>
      </c>
      <c r="P10">
        <v>4</v>
      </c>
      <c r="S10" t="s">
        <v>20</v>
      </c>
      <c r="T10">
        <f t="shared" si="2"/>
        <v>12</v>
      </c>
      <c r="U10">
        <f t="shared" si="3"/>
        <v>2</v>
      </c>
      <c r="V10">
        <f t="shared" si="4"/>
        <v>6</v>
      </c>
      <c r="W10">
        <f t="shared" si="5"/>
        <v>37</v>
      </c>
      <c r="X10">
        <f t="shared" si="6"/>
        <v>4</v>
      </c>
      <c r="Z10" s="5">
        <f t="shared" si="7"/>
        <v>5</v>
      </c>
      <c r="AA10" s="5">
        <f t="shared" si="8"/>
        <v>-0.66666666666666663</v>
      </c>
      <c r="AB10" s="5">
        <f t="shared" si="9"/>
        <v>-0.83783783783783783</v>
      </c>
      <c r="AC10" s="5">
        <f t="shared" si="10"/>
        <v>8.25</v>
      </c>
      <c r="AE10" s="5">
        <v>5</v>
      </c>
      <c r="AF10" s="5">
        <v>-0.66666666666666663</v>
      </c>
      <c r="AG10" s="5">
        <v>-0.83783783783783783</v>
      </c>
      <c r="AH10" s="5">
        <v>8.25</v>
      </c>
      <c r="AI10" t="s">
        <v>20</v>
      </c>
    </row>
    <row r="11" spans="1:35" x14ac:dyDescent="0.2">
      <c r="A11" s="1">
        <v>9</v>
      </c>
      <c r="B11" t="s">
        <v>21</v>
      </c>
      <c r="C11" t="s">
        <v>22</v>
      </c>
      <c r="D11">
        <v>56</v>
      </c>
      <c r="E11">
        <f>VLOOKUP(C11,Week4!$A$2:$B$67,2,FALSE)</f>
        <v>45</v>
      </c>
      <c r="F11">
        <f>VLOOKUP(C11,Week3!$A$2:$B$61,2,FALSE)</f>
        <v>39</v>
      </c>
      <c r="G11">
        <f>VLOOKUP(C11,Week2!$A$2:$B$54,2,FALSE)</f>
        <v>35</v>
      </c>
      <c r="H11">
        <f>VLOOKUP(C11,Week1!$A$2:$B$39,2,FALSE)</f>
        <v>28</v>
      </c>
      <c r="K11" t="s">
        <v>22</v>
      </c>
      <c r="L11">
        <v>56</v>
      </c>
      <c r="M11">
        <v>45</v>
      </c>
      <c r="N11">
        <v>39</v>
      </c>
      <c r="O11">
        <v>35</v>
      </c>
      <c r="P11">
        <v>28</v>
      </c>
      <c r="S11" t="s">
        <v>22</v>
      </c>
      <c r="T11">
        <f t="shared" si="2"/>
        <v>11</v>
      </c>
      <c r="U11">
        <f t="shared" si="3"/>
        <v>6</v>
      </c>
      <c r="V11">
        <f t="shared" si="4"/>
        <v>4</v>
      </c>
      <c r="W11">
        <f t="shared" si="5"/>
        <v>7</v>
      </c>
      <c r="X11">
        <f t="shared" si="6"/>
        <v>28</v>
      </c>
      <c r="Z11" s="5">
        <f t="shared" si="7"/>
        <v>0.83333333333333337</v>
      </c>
      <c r="AA11" s="5">
        <f t="shared" si="8"/>
        <v>0.5</v>
      </c>
      <c r="AB11" s="5">
        <f t="shared" si="9"/>
        <v>-0.42857142857142855</v>
      </c>
      <c r="AC11" s="5">
        <f t="shared" si="10"/>
        <v>-0.75</v>
      </c>
      <c r="AE11" s="5">
        <v>0.83333333333333337</v>
      </c>
      <c r="AF11" s="5">
        <v>0.5</v>
      </c>
      <c r="AG11" s="5">
        <v>-0.42857142857142855</v>
      </c>
      <c r="AH11" s="5">
        <v>-0.75</v>
      </c>
      <c r="AI11" t="s">
        <v>22</v>
      </c>
    </row>
    <row r="12" spans="1:35" x14ac:dyDescent="0.2">
      <c r="A12" s="1">
        <v>10</v>
      </c>
      <c r="B12" t="s">
        <v>23</v>
      </c>
      <c r="C12" t="s">
        <v>24</v>
      </c>
      <c r="D12">
        <v>52</v>
      </c>
      <c r="E12">
        <f>VLOOKUP(C12,Week4!$A$2:$B$67,2,FALSE)</f>
        <v>51</v>
      </c>
      <c r="F12">
        <f>VLOOKUP(C12,Week3!$A$2:$B$61,2,FALSE)</f>
        <v>50</v>
      </c>
      <c r="G12">
        <f>VLOOKUP(C12,Week2!$A$2:$B$54,2,FALSE)</f>
        <v>42</v>
      </c>
      <c r="H12">
        <f>VLOOKUP(C12,Week1!$A$2:$B$39,2,FALSE)</f>
        <v>23</v>
      </c>
      <c r="K12" t="s">
        <v>24</v>
      </c>
      <c r="L12">
        <v>52</v>
      </c>
      <c r="M12">
        <v>51</v>
      </c>
      <c r="N12">
        <v>50</v>
      </c>
      <c r="O12">
        <v>42</v>
      </c>
      <c r="P12">
        <v>23</v>
      </c>
      <c r="S12" t="s">
        <v>24</v>
      </c>
      <c r="T12">
        <f t="shared" si="2"/>
        <v>1</v>
      </c>
      <c r="U12">
        <f t="shared" si="3"/>
        <v>1</v>
      </c>
      <c r="V12">
        <f t="shared" si="4"/>
        <v>8</v>
      </c>
      <c r="W12">
        <f t="shared" si="5"/>
        <v>19</v>
      </c>
      <c r="X12">
        <f t="shared" si="6"/>
        <v>23</v>
      </c>
      <c r="Z12" s="5">
        <f t="shared" si="7"/>
        <v>0</v>
      </c>
      <c r="AA12" s="5">
        <f t="shared" si="8"/>
        <v>-0.875</v>
      </c>
      <c r="AB12" s="5">
        <f t="shared" si="9"/>
        <v>-0.57894736842105265</v>
      </c>
      <c r="AC12" s="5">
        <f t="shared" si="10"/>
        <v>-0.17391304347826086</v>
      </c>
      <c r="AE12" s="5">
        <v>0</v>
      </c>
      <c r="AF12" s="5">
        <v>-0.875</v>
      </c>
      <c r="AG12" s="5">
        <v>-0.57894736842105265</v>
      </c>
      <c r="AH12" s="5">
        <v>-0.17391304347826086</v>
      </c>
      <c r="AI12" t="s">
        <v>24</v>
      </c>
    </row>
    <row r="13" spans="1:35" x14ac:dyDescent="0.2">
      <c r="A13" s="1">
        <v>11</v>
      </c>
      <c r="B13" t="s">
        <v>25</v>
      </c>
      <c r="C13" t="s">
        <v>26</v>
      </c>
      <c r="D13">
        <v>39</v>
      </c>
      <c r="E13">
        <f>VLOOKUP(C13,Week4!$A$2:$B$67,2,FALSE)</f>
        <v>29</v>
      </c>
      <c r="F13">
        <f>VLOOKUP(C13,Week3!$A$2:$B$61,2,FALSE)</f>
        <v>23</v>
      </c>
      <c r="G13">
        <f>VLOOKUP(C13,Week2!$A$2:$B$54,2,FALSE)</f>
        <v>5</v>
      </c>
      <c r="H13">
        <f>VLOOKUP(C13,Week1!$A$2:$B$39,2,FALSE)</f>
        <v>2</v>
      </c>
      <c r="K13" t="s">
        <v>26</v>
      </c>
      <c r="L13">
        <v>39</v>
      </c>
      <c r="M13">
        <v>29</v>
      </c>
      <c r="N13">
        <v>23</v>
      </c>
      <c r="O13">
        <v>5</v>
      </c>
      <c r="P13">
        <v>2</v>
      </c>
      <c r="S13" t="s">
        <v>26</v>
      </c>
      <c r="T13">
        <f t="shared" si="2"/>
        <v>10</v>
      </c>
      <c r="U13">
        <f t="shared" si="3"/>
        <v>6</v>
      </c>
      <c r="V13">
        <f t="shared" si="4"/>
        <v>18</v>
      </c>
      <c r="W13">
        <f t="shared" si="5"/>
        <v>3</v>
      </c>
      <c r="X13">
        <f t="shared" si="6"/>
        <v>2</v>
      </c>
      <c r="Z13" s="5">
        <f t="shared" si="7"/>
        <v>0.66666666666666663</v>
      </c>
      <c r="AA13" s="5">
        <f t="shared" si="8"/>
        <v>-0.66666666666666663</v>
      </c>
      <c r="AB13" s="5">
        <f t="shared" si="9"/>
        <v>5</v>
      </c>
      <c r="AC13" s="5">
        <f t="shared" si="10"/>
        <v>0.5</v>
      </c>
      <c r="AE13" s="5">
        <v>0.66666666666666663</v>
      </c>
      <c r="AF13" s="5">
        <v>-0.66666666666666663</v>
      </c>
      <c r="AG13" s="5">
        <v>5</v>
      </c>
      <c r="AH13" s="5">
        <v>0.5</v>
      </c>
      <c r="AI13" t="s">
        <v>26</v>
      </c>
    </row>
    <row r="14" spans="1:35" x14ac:dyDescent="0.2">
      <c r="A14" s="1">
        <v>12</v>
      </c>
      <c r="B14" t="s">
        <v>27</v>
      </c>
      <c r="C14" t="s">
        <v>28</v>
      </c>
      <c r="D14">
        <v>34</v>
      </c>
      <c r="E14">
        <f>VLOOKUP(C14,Week4!$A$2:$B$67,2,FALSE)</f>
        <v>33</v>
      </c>
      <c r="F14">
        <f>VLOOKUP(C14,Week3!$A$2:$B$61,2,FALSE)</f>
        <v>33</v>
      </c>
      <c r="G14">
        <f>VLOOKUP(C14,Week2!$A$2:$B$54,2,FALSE)</f>
        <v>29</v>
      </c>
      <c r="H14">
        <f>VLOOKUP(C14,Week1!$A$2:$B$39,2,FALSE)</f>
        <v>6</v>
      </c>
      <c r="K14" t="s">
        <v>28</v>
      </c>
      <c r="L14">
        <v>34</v>
      </c>
      <c r="M14">
        <v>33</v>
      </c>
      <c r="N14">
        <v>33</v>
      </c>
      <c r="O14">
        <v>29</v>
      </c>
      <c r="P14">
        <v>6</v>
      </c>
      <c r="S14" t="s">
        <v>28</v>
      </c>
      <c r="T14">
        <f t="shared" si="2"/>
        <v>1</v>
      </c>
      <c r="U14">
        <f t="shared" si="3"/>
        <v>0</v>
      </c>
      <c r="V14">
        <f t="shared" si="4"/>
        <v>4</v>
      </c>
      <c r="W14">
        <f t="shared" si="5"/>
        <v>23</v>
      </c>
      <c r="X14">
        <f t="shared" si="6"/>
        <v>6</v>
      </c>
      <c r="Z14" s="5" t="e">
        <f t="shared" si="7"/>
        <v>#DIV/0!</v>
      </c>
      <c r="AA14" s="5">
        <f t="shared" si="8"/>
        <v>-1</v>
      </c>
      <c r="AB14" s="5">
        <f t="shared" si="9"/>
        <v>-0.82608695652173914</v>
      </c>
      <c r="AC14" s="5">
        <f t="shared" si="10"/>
        <v>2.8333333333333335</v>
      </c>
      <c r="AE14" s="5">
        <v>0</v>
      </c>
      <c r="AF14" s="5">
        <v>-1</v>
      </c>
      <c r="AG14" s="5">
        <v>-0.82608695652173914</v>
      </c>
      <c r="AH14" s="5">
        <v>2.8333333333333335</v>
      </c>
      <c r="AI14" t="s">
        <v>28</v>
      </c>
    </row>
    <row r="15" spans="1:35" x14ac:dyDescent="0.2">
      <c r="A15" s="1">
        <v>13</v>
      </c>
      <c r="B15" t="s">
        <v>29</v>
      </c>
      <c r="C15" t="s">
        <v>30</v>
      </c>
      <c r="D15">
        <v>32</v>
      </c>
      <c r="E15">
        <f>VLOOKUP(C15,Week4!$A$2:$B$67,2,FALSE)</f>
        <v>26</v>
      </c>
      <c r="F15">
        <f>VLOOKUP(C15,Week3!$A$2:$B$61,2,FALSE)</f>
        <v>21</v>
      </c>
      <c r="G15">
        <f>VLOOKUP(C15,Week2!$A$2:$B$54,2,FALSE)</f>
        <v>19</v>
      </c>
      <c r="H15">
        <f>VLOOKUP(C15,Week1!$A$2:$B$39,2,FALSE)</f>
        <v>12</v>
      </c>
      <c r="K15" t="s">
        <v>30</v>
      </c>
      <c r="L15">
        <v>32</v>
      </c>
      <c r="M15">
        <v>26</v>
      </c>
      <c r="N15">
        <v>21</v>
      </c>
      <c r="O15">
        <v>19</v>
      </c>
      <c r="P15">
        <v>12</v>
      </c>
      <c r="S15" t="s">
        <v>30</v>
      </c>
      <c r="T15">
        <f t="shared" si="2"/>
        <v>6</v>
      </c>
      <c r="U15">
        <f t="shared" si="3"/>
        <v>5</v>
      </c>
      <c r="V15">
        <f t="shared" si="4"/>
        <v>2</v>
      </c>
      <c r="W15">
        <f t="shared" si="5"/>
        <v>7</v>
      </c>
      <c r="X15">
        <f t="shared" si="6"/>
        <v>12</v>
      </c>
      <c r="Z15" s="5">
        <f t="shared" si="7"/>
        <v>0.2</v>
      </c>
      <c r="AA15" s="5">
        <f t="shared" si="8"/>
        <v>1.5</v>
      </c>
      <c r="AB15" s="5">
        <f t="shared" si="9"/>
        <v>-0.7142857142857143</v>
      </c>
      <c r="AC15" s="5">
        <f t="shared" si="10"/>
        <v>-0.41666666666666669</v>
      </c>
      <c r="AE15" s="5">
        <v>0.2</v>
      </c>
      <c r="AF15" s="5">
        <v>1.5</v>
      </c>
      <c r="AG15" s="5">
        <v>-0.7142857142857143</v>
      </c>
      <c r="AH15" s="5">
        <v>-0.41666666666666669</v>
      </c>
      <c r="AI15" t="s">
        <v>30</v>
      </c>
    </row>
    <row r="16" spans="1:35" x14ac:dyDescent="0.2">
      <c r="A16" s="1">
        <v>14</v>
      </c>
      <c r="B16" t="s">
        <v>31</v>
      </c>
      <c r="C16" t="s">
        <v>32</v>
      </c>
      <c r="D16">
        <v>31</v>
      </c>
      <c r="E16">
        <f>VLOOKUP(C16,Week4!$A$2:$B$67,2,FALSE)</f>
        <v>22</v>
      </c>
      <c r="F16">
        <f>VLOOKUP(C16,Week3!$A$2:$B$61,2,FALSE)</f>
        <v>1</v>
      </c>
      <c r="G16">
        <f>VLOOKUP(C16,Week2!$A$2:$B$54,2,FALSE)</f>
        <v>1</v>
      </c>
      <c r="H16">
        <f>VLOOKUP(C16,Week1!$A$2:$B$39,2,FALSE)</f>
        <v>1</v>
      </c>
      <c r="K16" t="s">
        <v>32</v>
      </c>
      <c r="L16">
        <v>31</v>
      </c>
      <c r="M16">
        <v>22</v>
      </c>
      <c r="N16">
        <v>1</v>
      </c>
      <c r="O16">
        <v>1</v>
      </c>
      <c r="P16">
        <v>1</v>
      </c>
      <c r="S16" t="s">
        <v>32</v>
      </c>
      <c r="T16">
        <f t="shared" si="2"/>
        <v>9</v>
      </c>
      <c r="U16">
        <f t="shared" si="3"/>
        <v>21</v>
      </c>
      <c r="V16">
        <f t="shared" si="4"/>
        <v>0</v>
      </c>
      <c r="W16">
        <f t="shared" si="5"/>
        <v>0</v>
      </c>
      <c r="X16">
        <f t="shared" si="6"/>
        <v>1</v>
      </c>
      <c r="Z16" s="5">
        <f t="shared" si="7"/>
        <v>-0.5714285714285714</v>
      </c>
      <c r="AA16" s="5" t="e">
        <f t="shared" si="8"/>
        <v>#DIV/0!</v>
      </c>
      <c r="AB16" s="5" t="e">
        <f t="shared" si="9"/>
        <v>#DIV/0!</v>
      </c>
      <c r="AC16" s="5">
        <f t="shared" si="10"/>
        <v>-1</v>
      </c>
      <c r="AE16" s="5">
        <v>-0.5714285714285714</v>
      </c>
      <c r="AF16" s="5">
        <v>0</v>
      </c>
      <c r="AG16" s="5">
        <v>0</v>
      </c>
      <c r="AH16" s="5">
        <v>-1</v>
      </c>
      <c r="AI16" t="s">
        <v>32</v>
      </c>
    </row>
    <row r="17" spans="1:35" x14ac:dyDescent="0.2">
      <c r="A17" s="1">
        <v>15</v>
      </c>
      <c r="B17" t="s">
        <v>33</v>
      </c>
      <c r="C17" t="s">
        <v>34</v>
      </c>
      <c r="D17">
        <v>27</v>
      </c>
      <c r="E17">
        <f>VLOOKUP(C17,Week4!$A$2:$B$67,2,FALSE)</f>
        <v>17</v>
      </c>
      <c r="F17">
        <f>VLOOKUP(C17,Week3!$A$2:$B$61,2,FALSE)</f>
        <v>13</v>
      </c>
      <c r="G17">
        <f>VLOOKUP(C17,Week2!$A$2:$B$54,2,FALSE)</f>
        <v>12</v>
      </c>
      <c r="H17">
        <f>VLOOKUP(C17,Week1!$A$2:$B$39,2,FALSE)</f>
        <v>6</v>
      </c>
      <c r="K17" t="s">
        <v>34</v>
      </c>
      <c r="L17">
        <v>27</v>
      </c>
      <c r="M17">
        <v>17</v>
      </c>
      <c r="N17">
        <v>13</v>
      </c>
      <c r="O17">
        <v>12</v>
      </c>
      <c r="P17">
        <v>6</v>
      </c>
      <c r="S17" t="s">
        <v>34</v>
      </c>
      <c r="T17">
        <f t="shared" si="2"/>
        <v>10</v>
      </c>
      <c r="U17">
        <f t="shared" si="3"/>
        <v>4</v>
      </c>
      <c r="V17">
        <f t="shared" si="4"/>
        <v>1</v>
      </c>
      <c r="W17">
        <f t="shared" si="5"/>
        <v>6</v>
      </c>
      <c r="X17">
        <f t="shared" si="6"/>
        <v>6</v>
      </c>
      <c r="Z17" s="5">
        <f t="shared" si="7"/>
        <v>1.5</v>
      </c>
      <c r="AA17" s="5">
        <f t="shared" si="8"/>
        <v>3</v>
      </c>
      <c r="AB17" s="5">
        <f t="shared" si="9"/>
        <v>-0.83333333333333337</v>
      </c>
      <c r="AC17" s="5">
        <f t="shared" si="10"/>
        <v>0</v>
      </c>
      <c r="AE17" s="5">
        <v>1.5</v>
      </c>
      <c r="AF17" s="5">
        <v>3</v>
      </c>
      <c r="AG17" s="5">
        <v>-0.83333333333333337</v>
      </c>
      <c r="AH17" s="5">
        <v>0</v>
      </c>
      <c r="AI17" t="s">
        <v>34</v>
      </c>
    </row>
    <row r="18" spans="1:35" x14ac:dyDescent="0.2">
      <c r="A18" s="1">
        <v>16</v>
      </c>
      <c r="B18" t="s">
        <v>35</v>
      </c>
      <c r="C18" t="s">
        <v>36</v>
      </c>
      <c r="D18">
        <v>23</v>
      </c>
      <c r="E18">
        <f>VLOOKUP(C18,Week4!$A$2:$B$67,2,FALSE)</f>
        <v>18</v>
      </c>
      <c r="F18" t="e">
        <f>VLOOKUP(C18,Week3!$A$2:$B$61,2,FALSE)</f>
        <v>#N/A</v>
      </c>
      <c r="G18" t="e">
        <f>VLOOKUP(C18,Week2!$A$2:$B$54,2,FALSE)</f>
        <v>#N/A</v>
      </c>
      <c r="H18" t="e">
        <f>VLOOKUP(C18,Week1!$A$2:$B$39,2,FALSE)</f>
        <v>#N/A</v>
      </c>
      <c r="K18" t="s">
        <v>36</v>
      </c>
      <c r="L18">
        <v>23</v>
      </c>
      <c r="M18">
        <v>18</v>
      </c>
      <c r="N18">
        <v>0</v>
      </c>
      <c r="O18">
        <v>0</v>
      </c>
      <c r="P18">
        <v>0</v>
      </c>
      <c r="S18" t="s">
        <v>36</v>
      </c>
      <c r="T18">
        <f t="shared" si="2"/>
        <v>5</v>
      </c>
      <c r="U18">
        <f t="shared" si="3"/>
        <v>18</v>
      </c>
      <c r="V18">
        <f t="shared" si="4"/>
        <v>0</v>
      </c>
      <c r="W18">
        <f t="shared" si="5"/>
        <v>0</v>
      </c>
      <c r="X18">
        <f t="shared" si="6"/>
        <v>0</v>
      </c>
      <c r="Z18" s="5">
        <f t="shared" si="7"/>
        <v>-0.72222222222222221</v>
      </c>
      <c r="AA18" s="5" t="e">
        <f t="shared" si="8"/>
        <v>#DIV/0!</v>
      </c>
      <c r="AB18" s="5" t="e">
        <f t="shared" si="9"/>
        <v>#DIV/0!</v>
      </c>
      <c r="AC18" s="5" t="e">
        <f t="shared" si="10"/>
        <v>#DIV/0!</v>
      </c>
      <c r="AE18" s="5">
        <v>-0.72222222222222221</v>
      </c>
      <c r="AF18" s="5">
        <v>0</v>
      </c>
      <c r="AG18" s="5">
        <v>0</v>
      </c>
      <c r="AH18" s="5">
        <v>0</v>
      </c>
      <c r="AI18" t="s">
        <v>36</v>
      </c>
    </row>
    <row r="19" spans="1:35" x14ac:dyDescent="0.2">
      <c r="A19" s="1">
        <v>17</v>
      </c>
      <c r="B19" t="s">
        <v>37</v>
      </c>
      <c r="C19" t="s">
        <v>38</v>
      </c>
      <c r="D19">
        <v>21</v>
      </c>
      <c r="E19">
        <f>VLOOKUP(C19,Week4!$A$2:$B$67,2,FALSE)</f>
        <v>18</v>
      </c>
      <c r="F19">
        <f>VLOOKUP(C19,Week3!$A$2:$B$61,2,FALSE)</f>
        <v>15</v>
      </c>
      <c r="G19">
        <f>VLOOKUP(C19,Week2!$A$2:$B$54,2,FALSE)</f>
        <v>11</v>
      </c>
      <c r="H19">
        <f>VLOOKUP(C19,Week1!$A$2:$B$39,2,FALSE)</f>
        <v>6</v>
      </c>
      <c r="K19" t="s">
        <v>38</v>
      </c>
      <c r="L19">
        <v>21</v>
      </c>
      <c r="M19">
        <v>18</v>
      </c>
      <c r="N19">
        <v>15</v>
      </c>
      <c r="O19">
        <v>11</v>
      </c>
      <c r="P19">
        <v>6</v>
      </c>
      <c r="S19" t="s">
        <v>38</v>
      </c>
      <c r="T19">
        <f t="shared" si="2"/>
        <v>3</v>
      </c>
      <c r="U19">
        <f t="shared" si="3"/>
        <v>3</v>
      </c>
      <c r="V19">
        <f t="shared" si="4"/>
        <v>4</v>
      </c>
      <c r="W19">
        <f t="shared" si="5"/>
        <v>5</v>
      </c>
      <c r="X19">
        <f t="shared" si="6"/>
        <v>6</v>
      </c>
      <c r="Z19" s="5">
        <f t="shared" si="7"/>
        <v>0</v>
      </c>
      <c r="AA19" s="5">
        <f t="shared" si="8"/>
        <v>-0.25</v>
      </c>
      <c r="AB19" s="5">
        <f t="shared" si="9"/>
        <v>-0.2</v>
      </c>
      <c r="AC19" s="5">
        <f t="shared" si="10"/>
        <v>-0.16666666666666666</v>
      </c>
      <c r="AE19" s="5">
        <v>0</v>
      </c>
      <c r="AF19" s="5">
        <v>-0.25</v>
      </c>
      <c r="AG19" s="5">
        <v>-0.2</v>
      </c>
      <c r="AH19" s="5">
        <v>-0.16666666666666666</v>
      </c>
      <c r="AI19" t="s">
        <v>38</v>
      </c>
    </row>
    <row r="20" spans="1:35" x14ac:dyDescent="0.2">
      <c r="A20" s="1">
        <v>18</v>
      </c>
      <c r="B20" t="s">
        <v>39</v>
      </c>
      <c r="C20" t="s">
        <v>40</v>
      </c>
      <c r="D20">
        <v>21</v>
      </c>
      <c r="E20">
        <f>VLOOKUP(C20,Week4!$A$2:$B$67,2,FALSE)</f>
        <v>21</v>
      </c>
      <c r="F20">
        <f>VLOOKUP(C20,Week3!$A$2:$B$61,2,FALSE)</f>
        <v>20</v>
      </c>
      <c r="G20">
        <f>VLOOKUP(C20,Week2!$A$2:$B$54,2,FALSE)</f>
        <v>17</v>
      </c>
      <c r="H20">
        <f>VLOOKUP(C20,Week1!$A$2:$B$39,2,FALSE)</f>
        <v>7</v>
      </c>
      <c r="K20" t="s">
        <v>40</v>
      </c>
      <c r="L20">
        <v>21</v>
      </c>
      <c r="M20">
        <v>21</v>
      </c>
      <c r="N20">
        <v>20</v>
      </c>
      <c r="O20">
        <v>17</v>
      </c>
      <c r="P20">
        <v>7</v>
      </c>
      <c r="S20" t="s">
        <v>40</v>
      </c>
      <c r="T20">
        <f t="shared" si="2"/>
        <v>0</v>
      </c>
      <c r="U20">
        <f t="shared" si="3"/>
        <v>1</v>
      </c>
      <c r="V20">
        <f t="shared" si="4"/>
        <v>3</v>
      </c>
      <c r="W20">
        <f t="shared" si="5"/>
        <v>10</v>
      </c>
      <c r="X20">
        <f t="shared" si="6"/>
        <v>7</v>
      </c>
      <c r="Z20" s="5">
        <f t="shared" si="7"/>
        <v>-1</v>
      </c>
      <c r="AA20" s="5">
        <f t="shared" si="8"/>
        <v>-0.66666666666666663</v>
      </c>
      <c r="AB20" s="5">
        <f t="shared" si="9"/>
        <v>-0.7</v>
      </c>
      <c r="AC20" s="5">
        <f t="shared" si="10"/>
        <v>0.42857142857142855</v>
      </c>
      <c r="AE20" s="5">
        <v>-1</v>
      </c>
      <c r="AF20" s="5">
        <v>-0.66666666666666663</v>
      </c>
      <c r="AG20" s="5">
        <v>-0.7</v>
      </c>
      <c r="AH20" s="5">
        <v>0.42857142857142855</v>
      </c>
      <c r="AI20" t="s">
        <v>40</v>
      </c>
    </row>
    <row r="21" spans="1:35" x14ac:dyDescent="0.2">
      <c r="A21" s="1">
        <v>19</v>
      </c>
      <c r="B21" t="s">
        <v>41</v>
      </c>
      <c r="C21" t="s">
        <v>42</v>
      </c>
      <c r="D21">
        <v>18</v>
      </c>
      <c r="E21">
        <f>VLOOKUP(C21,Week4!$A$2:$B$67,2,FALSE)</f>
        <v>15</v>
      </c>
      <c r="F21">
        <f>VLOOKUP(C21,Week3!$A$2:$B$61,2,FALSE)</f>
        <v>7</v>
      </c>
      <c r="G21">
        <f>VLOOKUP(C21,Week2!$A$2:$B$54,2,FALSE)</f>
        <v>6</v>
      </c>
      <c r="H21">
        <f>VLOOKUP(C21,Week1!$A$2:$B$39,2,FALSE)</f>
        <v>1</v>
      </c>
      <c r="K21" t="s">
        <v>42</v>
      </c>
      <c r="L21">
        <v>18</v>
      </c>
      <c r="M21">
        <v>15</v>
      </c>
      <c r="N21">
        <v>7</v>
      </c>
      <c r="O21">
        <v>6</v>
      </c>
      <c r="P21">
        <v>1</v>
      </c>
      <c r="S21" t="s">
        <v>42</v>
      </c>
      <c r="T21">
        <f t="shared" si="2"/>
        <v>3</v>
      </c>
      <c r="U21">
        <f t="shared" si="3"/>
        <v>8</v>
      </c>
      <c r="V21">
        <f t="shared" si="4"/>
        <v>1</v>
      </c>
      <c r="W21">
        <f t="shared" si="5"/>
        <v>5</v>
      </c>
      <c r="X21">
        <f t="shared" si="6"/>
        <v>1</v>
      </c>
      <c r="Z21" s="5">
        <f t="shared" si="7"/>
        <v>-0.625</v>
      </c>
      <c r="AA21" s="5">
        <f t="shared" si="8"/>
        <v>7</v>
      </c>
      <c r="AB21" s="5">
        <f t="shared" si="9"/>
        <v>-0.8</v>
      </c>
      <c r="AC21" s="5">
        <f t="shared" si="10"/>
        <v>4</v>
      </c>
      <c r="AE21" s="5">
        <v>-0.625</v>
      </c>
      <c r="AF21" s="5">
        <v>7</v>
      </c>
      <c r="AG21" s="5">
        <v>-0.8</v>
      </c>
      <c r="AH21" s="5">
        <v>4</v>
      </c>
      <c r="AI21" t="s">
        <v>42</v>
      </c>
    </row>
    <row r="22" spans="1:35" x14ac:dyDescent="0.2">
      <c r="A22" s="1">
        <v>20</v>
      </c>
      <c r="B22" t="s">
        <v>43</v>
      </c>
      <c r="C22" t="s">
        <v>44</v>
      </c>
      <c r="D22">
        <v>18</v>
      </c>
      <c r="E22">
        <f>VLOOKUP(C22,Week4!$A$2:$B$67,2,FALSE)</f>
        <v>17</v>
      </c>
      <c r="F22">
        <f>VLOOKUP(C22,Week3!$A$2:$B$61,2,FALSE)</f>
        <v>8</v>
      </c>
      <c r="G22">
        <f>VLOOKUP(C22,Week2!$A$2:$B$54,2,FALSE)</f>
        <v>7</v>
      </c>
      <c r="H22">
        <f>VLOOKUP(C22,Week1!$A$2:$B$39,2,FALSE)</f>
        <v>3</v>
      </c>
      <c r="K22" t="s">
        <v>44</v>
      </c>
      <c r="L22">
        <v>18</v>
      </c>
      <c r="M22">
        <v>17</v>
      </c>
      <c r="N22">
        <v>8</v>
      </c>
      <c r="O22">
        <v>7</v>
      </c>
      <c r="P22">
        <v>3</v>
      </c>
      <c r="S22" t="s">
        <v>44</v>
      </c>
      <c r="T22">
        <f t="shared" si="2"/>
        <v>1</v>
      </c>
      <c r="U22">
        <f t="shared" si="3"/>
        <v>9</v>
      </c>
      <c r="V22">
        <f t="shared" si="4"/>
        <v>1</v>
      </c>
      <c r="W22">
        <f t="shared" si="5"/>
        <v>4</v>
      </c>
      <c r="X22">
        <f t="shared" si="6"/>
        <v>3</v>
      </c>
      <c r="Z22" s="5">
        <f t="shared" si="7"/>
        <v>-0.88888888888888884</v>
      </c>
      <c r="AA22" s="5">
        <f t="shared" si="8"/>
        <v>8</v>
      </c>
      <c r="AB22" s="5">
        <f t="shared" si="9"/>
        <v>-0.75</v>
      </c>
      <c r="AC22" s="5">
        <f t="shared" si="10"/>
        <v>0.33333333333333331</v>
      </c>
      <c r="AE22" s="5">
        <v>-0.88888888888888884</v>
      </c>
      <c r="AF22" s="5">
        <v>8</v>
      </c>
      <c r="AG22" s="5">
        <v>-0.75</v>
      </c>
      <c r="AH22" s="5">
        <v>0.33333333333333331</v>
      </c>
      <c r="AI22" t="s">
        <v>44</v>
      </c>
    </row>
    <row r="23" spans="1:35" x14ac:dyDescent="0.2">
      <c r="A23" s="1">
        <v>21</v>
      </c>
      <c r="B23" t="s">
        <v>45</v>
      </c>
      <c r="C23" t="s">
        <v>46</v>
      </c>
      <c r="D23">
        <v>17</v>
      </c>
      <c r="E23">
        <f>VLOOKUP(C23,Week4!$A$2:$B$67,2,FALSE)</f>
        <v>13</v>
      </c>
      <c r="F23">
        <f>VLOOKUP(C23,Week3!$A$2:$B$61,2,FALSE)</f>
        <v>11</v>
      </c>
      <c r="G23">
        <f>VLOOKUP(C23,Week2!$A$2:$B$54,2,FALSE)</f>
        <v>9</v>
      </c>
      <c r="H23" t="e">
        <f>VLOOKUP(C23,Week1!$A$2:$B$39,2,FALSE)</f>
        <v>#N/A</v>
      </c>
      <c r="K23" t="s">
        <v>46</v>
      </c>
      <c r="L23">
        <v>17</v>
      </c>
      <c r="M23">
        <v>13</v>
      </c>
      <c r="N23">
        <v>11</v>
      </c>
      <c r="O23">
        <v>9</v>
      </c>
      <c r="P23">
        <v>0</v>
      </c>
      <c r="S23" t="s">
        <v>46</v>
      </c>
      <c r="T23">
        <f t="shared" si="2"/>
        <v>4</v>
      </c>
      <c r="U23">
        <f t="shared" si="3"/>
        <v>2</v>
      </c>
      <c r="V23">
        <f t="shared" si="4"/>
        <v>2</v>
      </c>
      <c r="W23">
        <f t="shared" si="5"/>
        <v>9</v>
      </c>
      <c r="X23">
        <f t="shared" si="6"/>
        <v>0</v>
      </c>
      <c r="Z23" s="5">
        <f t="shared" si="7"/>
        <v>1</v>
      </c>
      <c r="AA23" s="5">
        <f t="shared" si="8"/>
        <v>0</v>
      </c>
      <c r="AB23" s="5">
        <f t="shared" si="9"/>
        <v>-0.77777777777777779</v>
      </c>
      <c r="AC23" s="5" t="e">
        <f t="shared" si="10"/>
        <v>#DIV/0!</v>
      </c>
      <c r="AE23" s="5">
        <v>1</v>
      </c>
      <c r="AF23" s="5">
        <v>0</v>
      </c>
      <c r="AG23" s="5">
        <v>-0.77777777777777779</v>
      </c>
      <c r="AH23" s="5">
        <v>0</v>
      </c>
      <c r="AI23" t="s">
        <v>46</v>
      </c>
    </row>
    <row r="24" spans="1:35" x14ac:dyDescent="0.2">
      <c r="A24" s="1">
        <v>22</v>
      </c>
      <c r="B24" t="s">
        <v>47</v>
      </c>
      <c r="C24" t="s">
        <v>48</v>
      </c>
      <c r="D24">
        <v>14</v>
      </c>
      <c r="E24">
        <f>VLOOKUP(C24,Week4!$A$2:$B$67,2,FALSE)</f>
        <v>12</v>
      </c>
      <c r="F24">
        <f>VLOOKUP(C24,Week3!$A$2:$B$61,2,FALSE)</f>
        <v>5</v>
      </c>
      <c r="G24">
        <f>VLOOKUP(C24,Week2!$A$2:$B$54,2,FALSE)</f>
        <v>3</v>
      </c>
      <c r="H24" t="e">
        <f>VLOOKUP(C24,Week1!$A$2:$B$39,2,FALSE)</f>
        <v>#N/A</v>
      </c>
      <c r="K24" t="s">
        <v>48</v>
      </c>
      <c r="L24">
        <v>14</v>
      </c>
      <c r="M24">
        <v>12</v>
      </c>
      <c r="N24">
        <v>5</v>
      </c>
      <c r="O24">
        <v>3</v>
      </c>
      <c r="P24">
        <v>0</v>
      </c>
      <c r="S24" t="s">
        <v>48</v>
      </c>
      <c r="T24">
        <f t="shared" si="2"/>
        <v>2</v>
      </c>
      <c r="U24">
        <f t="shared" si="3"/>
        <v>7</v>
      </c>
      <c r="V24">
        <f t="shared" si="4"/>
        <v>2</v>
      </c>
      <c r="W24">
        <f t="shared" si="5"/>
        <v>3</v>
      </c>
      <c r="X24">
        <f t="shared" si="6"/>
        <v>0</v>
      </c>
      <c r="Z24" s="5">
        <f t="shared" si="7"/>
        <v>-0.7142857142857143</v>
      </c>
      <c r="AA24" s="5">
        <f t="shared" si="8"/>
        <v>2.5</v>
      </c>
      <c r="AB24" s="5">
        <f t="shared" si="9"/>
        <v>-0.33333333333333331</v>
      </c>
      <c r="AC24" s="5" t="e">
        <f t="shared" si="10"/>
        <v>#DIV/0!</v>
      </c>
      <c r="AE24" s="5">
        <v>-0.7142857142857143</v>
      </c>
      <c r="AF24" s="5">
        <v>2.5</v>
      </c>
      <c r="AG24" s="5">
        <v>-0.33333333333333331</v>
      </c>
      <c r="AH24" s="5">
        <v>0</v>
      </c>
      <c r="AI24" t="s">
        <v>48</v>
      </c>
    </row>
    <row r="25" spans="1:35" x14ac:dyDescent="0.2">
      <c r="A25" s="1">
        <v>23</v>
      </c>
      <c r="B25" t="s">
        <v>49</v>
      </c>
      <c r="C25" t="s">
        <v>50</v>
      </c>
      <c r="D25">
        <v>12</v>
      </c>
      <c r="E25">
        <f>VLOOKUP(C25,Week4!$A$2:$B$67,2,FALSE)</f>
        <v>11</v>
      </c>
      <c r="F25">
        <f>VLOOKUP(C25,Week3!$A$2:$B$61,2,FALSE)</f>
        <v>11</v>
      </c>
      <c r="G25">
        <f>VLOOKUP(C25,Week2!$A$2:$B$54,2,FALSE)</f>
        <v>8</v>
      </c>
      <c r="H25" t="e">
        <f>VLOOKUP(C25,Week1!$A$2:$B$39,2,FALSE)</f>
        <v>#N/A</v>
      </c>
      <c r="K25" t="s">
        <v>50</v>
      </c>
      <c r="L25">
        <v>12</v>
      </c>
      <c r="M25">
        <v>11</v>
      </c>
      <c r="N25">
        <v>11</v>
      </c>
      <c r="O25">
        <v>8</v>
      </c>
      <c r="P25">
        <v>0</v>
      </c>
      <c r="S25" t="s">
        <v>50</v>
      </c>
      <c r="T25">
        <f t="shared" si="2"/>
        <v>1</v>
      </c>
      <c r="U25">
        <f t="shared" si="3"/>
        <v>0</v>
      </c>
      <c r="V25">
        <f t="shared" si="4"/>
        <v>3</v>
      </c>
      <c r="W25">
        <f t="shared" si="5"/>
        <v>8</v>
      </c>
      <c r="X25">
        <f t="shared" si="6"/>
        <v>0</v>
      </c>
      <c r="Z25" s="5" t="e">
        <f t="shared" si="7"/>
        <v>#DIV/0!</v>
      </c>
      <c r="AA25" s="5">
        <f t="shared" si="8"/>
        <v>-1</v>
      </c>
      <c r="AB25" s="5">
        <f t="shared" si="9"/>
        <v>-0.625</v>
      </c>
      <c r="AC25" s="5" t="e">
        <f t="shared" si="10"/>
        <v>#DIV/0!</v>
      </c>
      <c r="AE25" s="5">
        <v>0</v>
      </c>
      <c r="AF25" s="5">
        <v>-1</v>
      </c>
      <c r="AG25" s="5">
        <v>-0.625</v>
      </c>
      <c r="AH25" s="5">
        <v>0</v>
      </c>
      <c r="AI25" t="s">
        <v>50</v>
      </c>
    </row>
    <row r="26" spans="1:35" x14ac:dyDescent="0.2">
      <c r="A26" s="1">
        <v>24</v>
      </c>
      <c r="B26" t="s">
        <v>51</v>
      </c>
      <c r="C26" t="s">
        <v>52</v>
      </c>
      <c r="D26">
        <v>11</v>
      </c>
      <c r="E26">
        <f>VLOOKUP(C26,Week4!$A$2:$B$67,2,FALSE)</f>
        <v>8</v>
      </c>
      <c r="F26">
        <f>VLOOKUP(C26,Week3!$A$2:$B$61,2,FALSE)</f>
        <v>6</v>
      </c>
      <c r="G26">
        <f>VLOOKUP(C26,Week2!$A$2:$B$54,2,FALSE)</f>
        <v>4</v>
      </c>
      <c r="H26">
        <f>VLOOKUP(C26,Week1!$A$2:$B$39,2,FALSE)</f>
        <v>1</v>
      </c>
      <c r="K26" t="s">
        <v>52</v>
      </c>
      <c r="L26">
        <v>11</v>
      </c>
      <c r="M26">
        <v>8</v>
      </c>
      <c r="N26">
        <v>6</v>
      </c>
      <c r="O26">
        <v>4</v>
      </c>
      <c r="P26">
        <v>1</v>
      </c>
      <c r="S26" t="s">
        <v>52</v>
      </c>
      <c r="T26">
        <f t="shared" si="2"/>
        <v>3</v>
      </c>
      <c r="U26">
        <f t="shared" si="3"/>
        <v>2</v>
      </c>
      <c r="V26">
        <f t="shared" si="4"/>
        <v>2</v>
      </c>
      <c r="W26">
        <f t="shared" si="5"/>
        <v>3</v>
      </c>
      <c r="X26">
        <f t="shared" si="6"/>
        <v>1</v>
      </c>
      <c r="Z26" s="5">
        <f t="shared" si="7"/>
        <v>0.5</v>
      </c>
      <c r="AA26" s="5">
        <f t="shared" si="8"/>
        <v>0</v>
      </c>
      <c r="AB26" s="5">
        <f t="shared" si="9"/>
        <v>-0.33333333333333331</v>
      </c>
      <c r="AC26" s="5">
        <f t="shared" si="10"/>
        <v>2</v>
      </c>
      <c r="AE26" s="5">
        <v>0.5</v>
      </c>
      <c r="AF26" s="5">
        <v>0</v>
      </c>
      <c r="AG26" s="5">
        <v>-0.33333333333333331</v>
      </c>
      <c r="AH26" s="5">
        <v>2</v>
      </c>
      <c r="AI26" t="s">
        <v>52</v>
      </c>
    </row>
    <row r="27" spans="1:35" x14ac:dyDescent="0.2">
      <c r="A27" s="1">
        <v>25</v>
      </c>
      <c r="B27" t="s">
        <v>53</v>
      </c>
      <c r="C27" t="s">
        <v>54</v>
      </c>
      <c r="D27">
        <v>11</v>
      </c>
      <c r="E27">
        <f>VLOOKUP(C27,Week4!$A$2:$B$67,2,FALSE)</f>
        <v>8</v>
      </c>
      <c r="F27">
        <f>VLOOKUP(C27,Week3!$A$2:$B$61,2,FALSE)</f>
        <v>6</v>
      </c>
      <c r="G27">
        <f>VLOOKUP(C27,Week2!$A$2:$B$54,2,FALSE)</f>
        <v>6</v>
      </c>
      <c r="H27">
        <f>VLOOKUP(C27,Week1!$A$2:$B$39,2,FALSE)</f>
        <v>6</v>
      </c>
      <c r="K27" t="s">
        <v>54</v>
      </c>
      <c r="L27">
        <v>11</v>
      </c>
      <c r="M27">
        <v>8</v>
      </c>
      <c r="N27">
        <v>6</v>
      </c>
      <c r="O27">
        <v>6</v>
      </c>
      <c r="P27">
        <v>6</v>
      </c>
      <c r="S27" t="s">
        <v>54</v>
      </c>
      <c r="T27">
        <f t="shared" si="2"/>
        <v>3</v>
      </c>
      <c r="U27">
        <f t="shared" si="3"/>
        <v>2</v>
      </c>
      <c r="V27">
        <f t="shared" si="4"/>
        <v>0</v>
      </c>
      <c r="W27">
        <f t="shared" si="5"/>
        <v>0</v>
      </c>
      <c r="X27">
        <f t="shared" si="6"/>
        <v>6</v>
      </c>
      <c r="Z27" s="5">
        <f t="shared" si="7"/>
        <v>0.5</v>
      </c>
      <c r="AA27" s="5" t="e">
        <f t="shared" si="8"/>
        <v>#DIV/0!</v>
      </c>
      <c r="AB27" s="5" t="e">
        <f t="shared" si="9"/>
        <v>#DIV/0!</v>
      </c>
      <c r="AC27" s="5">
        <f t="shared" si="10"/>
        <v>-1</v>
      </c>
      <c r="AE27" s="5">
        <v>0.5</v>
      </c>
      <c r="AF27" s="5">
        <v>0</v>
      </c>
      <c r="AG27" s="5">
        <v>0</v>
      </c>
      <c r="AH27" s="5">
        <v>-1</v>
      </c>
      <c r="AI27" t="s">
        <v>54</v>
      </c>
    </row>
    <row r="28" spans="1:35" x14ac:dyDescent="0.2">
      <c r="A28" s="1">
        <v>26</v>
      </c>
      <c r="B28" t="s">
        <v>55</v>
      </c>
      <c r="C28" t="s">
        <v>56</v>
      </c>
      <c r="D28">
        <v>10</v>
      </c>
      <c r="E28">
        <f>VLOOKUP(C28,Week4!$A$2:$B$67,2,FALSE)</f>
        <v>9</v>
      </c>
      <c r="F28">
        <f>VLOOKUP(C28,Week3!$A$2:$B$61,2,FALSE)</f>
        <v>8</v>
      </c>
      <c r="G28">
        <f>VLOOKUP(C28,Week2!$A$2:$B$54,2,FALSE)</f>
        <v>4</v>
      </c>
      <c r="H28">
        <f>VLOOKUP(C28,Week1!$A$2:$B$39,2,FALSE)</f>
        <v>3</v>
      </c>
      <c r="K28" t="s">
        <v>56</v>
      </c>
      <c r="L28">
        <v>10</v>
      </c>
      <c r="M28">
        <v>9</v>
      </c>
      <c r="N28">
        <v>8</v>
      </c>
      <c r="O28">
        <v>4</v>
      </c>
      <c r="P28">
        <v>3</v>
      </c>
      <c r="S28" t="s">
        <v>56</v>
      </c>
      <c r="T28">
        <f t="shared" si="2"/>
        <v>1</v>
      </c>
      <c r="U28">
        <f t="shared" si="3"/>
        <v>1</v>
      </c>
      <c r="V28">
        <f t="shared" si="4"/>
        <v>4</v>
      </c>
      <c r="W28">
        <f t="shared" si="5"/>
        <v>1</v>
      </c>
      <c r="X28">
        <f t="shared" si="6"/>
        <v>3</v>
      </c>
      <c r="Z28" s="5">
        <f t="shared" si="7"/>
        <v>0</v>
      </c>
      <c r="AA28" s="5">
        <f t="shared" si="8"/>
        <v>-0.75</v>
      </c>
      <c r="AB28" s="5">
        <f t="shared" si="9"/>
        <v>3</v>
      </c>
      <c r="AC28" s="5">
        <f t="shared" si="10"/>
        <v>-0.66666666666666663</v>
      </c>
      <c r="AE28" s="5">
        <v>0</v>
      </c>
      <c r="AF28" s="5">
        <v>-0.75</v>
      </c>
      <c r="AG28" s="5">
        <v>3</v>
      </c>
      <c r="AH28" s="5">
        <v>-0.66666666666666663</v>
      </c>
      <c r="AI28" t="s">
        <v>56</v>
      </c>
    </row>
    <row r="29" spans="1:35" x14ac:dyDescent="0.2">
      <c r="A29" s="1">
        <v>27</v>
      </c>
      <c r="B29" t="s">
        <v>57</v>
      </c>
      <c r="C29" t="s">
        <v>58</v>
      </c>
      <c r="D29">
        <v>10</v>
      </c>
      <c r="E29">
        <f>VLOOKUP(C29,Week4!$A$2:$B$67,2,FALSE)</f>
        <v>8</v>
      </c>
      <c r="F29">
        <f>VLOOKUP(C29,Week3!$A$2:$B$61,2,FALSE)</f>
        <v>3</v>
      </c>
      <c r="G29">
        <f>VLOOKUP(C29,Week2!$A$2:$B$54,2,FALSE)</f>
        <v>3</v>
      </c>
      <c r="H29">
        <f>VLOOKUP(C29,Week1!$A$2:$B$39,2,FALSE)</f>
        <v>2</v>
      </c>
      <c r="K29" t="s">
        <v>58</v>
      </c>
      <c r="L29">
        <v>10</v>
      </c>
      <c r="M29">
        <v>8</v>
      </c>
      <c r="N29">
        <v>3</v>
      </c>
      <c r="O29">
        <v>3</v>
      </c>
      <c r="P29">
        <v>2</v>
      </c>
      <c r="S29" t="s">
        <v>58</v>
      </c>
      <c r="T29">
        <f t="shared" si="2"/>
        <v>2</v>
      </c>
      <c r="U29">
        <f t="shared" si="3"/>
        <v>5</v>
      </c>
      <c r="V29">
        <f t="shared" si="4"/>
        <v>0</v>
      </c>
      <c r="W29">
        <f t="shared" si="5"/>
        <v>1</v>
      </c>
      <c r="X29">
        <f t="shared" si="6"/>
        <v>2</v>
      </c>
      <c r="Z29" s="5">
        <f t="shared" si="7"/>
        <v>-0.6</v>
      </c>
      <c r="AA29" s="5" t="e">
        <f t="shared" si="8"/>
        <v>#DIV/0!</v>
      </c>
      <c r="AB29" s="5">
        <f t="shared" si="9"/>
        <v>-1</v>
      </c>
      <c r="AC29" s="5">
        <f t="shared" si="10"/>
        <v>-0.5</v>
      </c>
      <c r="AE29" s="5">
        <v>-0.6</v>
      </c>
      <c r="AF29" s="5">
        <v>0</v>
      </c>
      <c r="AG29" s="5">
        <v>-1</v>
      </c>
      <c r="AH29" s="5">
        <v>-0.5</v>
      </c>
      <c r="AI29" t="s">
        <v>58</v>
      </c>
    </row>
    <row r="30" spans="1:35" x14ac:dyDescent="0.2">
      <c r="A30" s="1">
        <v>28</v>
      </c>
      <c r="B30" t="s">
        <v>59</v>
      </c>
      <c r="C30" t="s">
        <v>60</v>
      </c>
      <c r="D30">
        <v>10</v>
      </c>
      <c r="E30">
        <f>VLOOKUP(C30,Week4!$A$2:$B$67,2,FALSE)</f>
        <v>8</v>
      </c>
      <c r="F30">
        <f>VLOOKUP(C30,Week3!$A$2:$B$61,2,FALSE)</f>
        <v>5</v>
      </c>
      <c r="G30">
        <f>VLOOKUP(C30,Week2!$A$2:$B$54,2,FALSE)</f>
        <v>4</v>
      </c>
      <c r="H30">
        <f>VLOOKUP(C30,Week1!$A$2:$B$39,2,FALSE)</f>
        <v>1</v>
      </c>
      <c r="K30" t="s">
        <v>60</v>
      </c>
      <c r="L30">
        <v>10</v>
      </c>
      <c r="M30">
        <v>8</v>
      </c>
      <c r="N30">
        <v>5</v>
      </c>
      <c r="O30">
        <v>4</v>
      </c>
      <c r="P30">
        <v>1</v>
      </c>
      <c r="S30" t="s">
        <v>60</v>
      </c>
      <c r="T30">
        <f t="shared" si="2"/>
        <v>2</v>
      </c>
      <c r="U30">
        <f t="shared" si="3"/>
        <v>3</v>
      </c>
      <c r="V30">
        <f t="shared" si="4"/>
        <v>1</v>
      </c>
      <c r="W30">
        <f t="shared" si="5"/>
        <v>3</v>
      </c>
      <c r="X30">
        <f t="shared" si="6"/>
        <v>1</v>
      </c>
      <c r="Z30" s="5">
        <f t="shared" si="7"/>
        <v>-0.33333333333333331</v>
      </c>
      <c r="AA30" s="5">
        <f t="shared" si="8"/>
        <v>2</v>
      </c>
      <c r="AB30" s="5">
        <f t="shared" si="9"/>
        <v>-0.66666666666666663</v>
      </c>
      <c r="AC30" s="5">
        <f t="shared" si="10"/>
        <v>2</v>
      </c>
      <c r="AE30" s="5">
        <v>-0.33333333333333331</v>
      </c>
      <c r="AF30" s="5">
        <v>2</v>
      </c>
      <c r="AG30" s="5">
        <v>-0.66666666666666663</v>
      </c>
      <c r="AH30" s="5">
        <v>2</v>
      </c>
      <c r="AI30" t="s">
        <v>60</v>
      </c>
    </row>
    <row r="31" spans="1:35" x14ac:dyDescent="0.2">
      <c r="A31" s="1">
        <v>29</v>
      </c>
      <c r="B31" t="s">
        <v>61</v>
      </c>
      <c r="C31" t="s">
        <v>62</v>
      </c>
      <c r="D31">
        <v>9</v>
      </c>
      <c r="E31">
        <f>VLOOKUP(C31,Week4!$A$2:$B$67,2,FALSE)</f>
        <v>7</v>
      </c>
      <c r="F31">
        <f>VLOOKUP(C31,Week3!$A$2:$B$61,2,FALSE)</f>
        <v>3</v>
      </c>
      <c r="G31">
        <f>VLOOKUP(C31,Week2!$A$2:$B$54,2,FALSE)</f>
        <v>3</v>
      </c>
      <c r="H31" t="e">
        <f>VLOOKUP(C31,Week1!$A$2:$B$39,2,FALSE)</f>
        <v>#N/A</v>
      </c>
      <c r="K31" t="s">
        <v>62</v>
      </c>
      <c r="L31">
        <v>9</v>
      </c>
      <c r="M31">
        <v>7</v>
      </c>
      <c r="N31">
        <v>3</v>
      </c>
      <c r="O31">
        <v>3</v>
      </c>
      <c r="P31">
        <v>0</v>
      </c>
      <c r="S31" t="s">
        <v>62</v>
      </c>
      <c r="T31">
        <f t="shared" si="2"/>
        <v>2</v>
      </c>
      <c r="U31">
        <f t="shared" si="3"/>
        <v>4</v>
      </c>
      <c r="V31">
        <f t="shared" si="4"/>
        <v>0</v>
      </c>
      <c r="W31">
        <f t="shared" si="5"/>
        <v>3</v>
      </c>
      <c r="X31">
        <f t="shared" si="6"/>
        <v>0</v>
      </c>
      <c r="Z31" s="5">
        <f t="shared" si="7"/>
        <v>-0.5</v>
      </c>
      <c r="AA31" s="5" t="e">
        <f t="shared" si="8"/>
        <v>#DIV/0!</v>
      </c>
      <c r="AB31" s="5">
        <f t="shared" si="9"/>
        <v>-1</v>
      </c>
      <c r="AC31" s="5" t="e">
        <f t="shared" si="10"/>
        <v>#DIV/0!</v>
      </c>
      <c r="AE31" s="5">
        <v>-0.5</v>
      </c>
      <c r="AF31" s="5">
        <v>0</v>
      </c>
      <c r="AG31" s="5">
        <v>-1</v>
      </c>
      <c r="AH31" s="5">
        <v>0</v>
      </c>
      <c r="AI31" t="s">
        <v>62</v>
      </c>
    </row>
    <row r="32" spans="1:35" x14ac:dyDescent="0.2">
      <c r="A32" s="1">
        <v>30</v>
      </c>
      <c r="B32" t="s">
        <v>63</v>
      </c>
      <c r="C32" t="s">
        <v>64</v>
      </c>
      <c r="D32">
        <v>7</v>
      </c>
      <c r="E32">
        <f>VLOOKUP(C32,Week4!$A$2:$B$67,2,FALSE)</f>
        <v>4</v>
      </c>
      <c r="F32">
        <f>VLOOKUP(C32,Week3!$A$2:$B$61,2,FALSE)</f>
        <v>3</v>
      </c>
      <c r="G32">
        <f>VLOOKUP(C32,Week2!$A$2:$B$54,2,FALSE)</f>
        <v>3</v>
      </c>
      <c r="H32">
        <f>VLOOKUP(C32,Week1!$A$2:$B$39,2,FALSE)</f>
        <v>2</v>
      </c>
      <c r="K32" t="s">
        <v>64</v>
      </c>
      <c r="L32">
        <v>7</v>
      </c>
      <c r="M32">
        <v>4</v>
      </c>
      <c r="N32">
        <v>3</v>
      </c>
      <c r="O32">
        <v>3</v>
      </c>
      <c r="P32">
        <v>2</v>
      </c>
      <c r="S32" t="s">
        <v>64</v>
      </c>
      <c r="T32">
        <f t="shared" si="2"/>
        <v>3</v>
      </c>
      <c r="U32">
        <f t="shared" si="3"/>
        <v>1</v>
      </c>
      <c r="V32">
        <f t="shared" si="4"/>
        <v>0</v>
      </c>
      <c r="W32">
        <f t="shared" si="5"/>
        <v>1</v>
      </c>
      <c r="X32">
        <f t="shared" si="6"/>
        <v>2</v>
      </c>
      <c r="Z32" s="5">
        <f t="shared" si="7"/>
        <v>2</v>
      </c>
      <c r="AA32" s="5" t="e">
        <f t="shared" si="8"/>
        <v>#DIV/0!</v>
      </c>
      <c r="AB32" s="5">
        <f t="shared" si="9"/>
        <v>-1</v>
      </c>
      <c r="AC32" s="5">
        <f t="shared" si="10"/>
        <v>-0.5</v>
      </c>
      <c r="AE32" s="5">
        <v>2</v>
      </c>
      <c r="AF32" s="5">
        <v>0</v>
      </c>
      <c r="AG32" s="5">
        <v>-1</v>
      </c>
      <c r="AH32" s="5">
        <v>-0.5</v>
      </c>
      <c r="AI32" t="s">
        <v>64</v>
      </c>
    </row>
    <row r="33" spans="1:35" x14ac:dyDescent="0.2">
      <c r="A33" s="1">
        <v>31</v>
      </c>
      <c r="B33" t="s">
        <v>65</v>
      </c>
      <c r="C33" t="s">
        <v>66</v>
      </c>
      <c r="D33">
        <v>6</v>
      </c>
      <c r="E33">
        <f>VLOOKUP(C33,Week4!$A$2:$B$67,2,FALSE)</f>
        <v>3</v>
      </c>
      <c r="F33">
        <f>VLOOKUP(C33,Week3!$A$2:$B$61,2,FALSE)</f>
        <v>3</v>
      </c>
      <c r="G33">
        <f>VLOOKUP(C33,Week2!$A$2:$B$54,2,FALSE)</f>
        <v>3</v>
      </c>
      <c r="H33" t="e">
        <f>VLOOKUP(C33,Week1!$A$2:$B$39,2,FALSE)</f>
        <v>#N/A</v>
      </c>
      <c r="K33" t="s">
        <v>66</v>
      </c>
      <c r="L33">
        <v>6</v>
      </c>
      <c r="M33">
        <v>3</v>
      </c>
      <c r="N33">
        <v>3</v>
      </c>
      <c r="O33">
        <v>3</v>
      </c>
      <c r="P33">
        <v>0</v>
      </c>
      <c r="S33" t="s">
        <v>66</v>
      </c>
      <c r="T33">
        <f t="shared" si="2"/>
        <v>3</v>
      </c>
      <c r="U33">
        <f t="shared" si="3"/>
        <v>0</v>
      </c>
      <c r="V33">
        <f t="shared" si="4"/>
        <v>0</v>
      </c>
      <c r="W33">
        <f t="shared" si="5"/>
        <v>3</v>
      </c>
      <c r="X33">
        <f t="shared" si="6"/>
        <v>0</v>
      </c>
      <c r="Z33" s="5" t="e">
        <f t="shared" si="7"/>
        <v>#DIV/0!</v>
      </c>
      <c r="AA33" s="5" t="e">
        <f t="shared" si="8"/>
        <v>#DIV/0!</v>
      </c>
      <c r="AB33" s="5">
        <f t="shared" si="9"/>
        <v>-1</v>
      </c>
      <c r="AC33" s="5" t="e">
        <f t="shared" si="10"/>
        <v>#DIV/0!</v>
      </c>
      <c r="AE33" s="5">
        <v>0</v>
      </c>
      <c r="AF33" s="5">
        <v>0</v>
      </c>
      <c r="AG33" s="5">
        <v>-1</v>
      </c>
      <c r="AH33" s="5">
        <v>0</v>
      </c>
      <c r="AI33" t="s">
        <v>66</v>
      </c>
    </row>
    <row r="34" spans="1:35" x14ac:dyDescent="0.2">
      <c r="A34" s="1">
        <v>32</v>
      </c>
      <c r="B34" t="s">
        <v>67</v>
      </c>
      <c r="C34" t="s">
        <v>68</v>
      </c>
      <c r="D34">
        <v>6</v>
      </c>
      <c r="E34">
        <f>VLOOKUP(C34,Week4!$A$2:$B$67,2,FALSE)</f>
        <v>6</v>
      </c>
      <c r="F34">
        <f>VLOOKUP(C34,Week3!$A$2:$B$61,2,FALSE)</f>
        <v>5</v>
      </c>
      <c r="G34">
        <f>VLOOKUP(C34,Week2!$A$2:$B$54,2,FALSE)</f>
        <v>5</v>
      </c>
      <c r="H34">
        <f>VLOOKUP(C34,Week1!$A$2:$B$39,2,FALSE)</f>
        <v>1</v>
      </c>
      <c r="K34" t="s">
        <v>68</v>
      </c>
      <c r="L34">
        <v>6</v>
      </c>
      <c r="M34">
        <v>6</v>
      </c>
      <c r="N34">
        <v>5</v>
      </c>
      <c r="O34">
        <v>5</v>
      </c>
      <c r="P34">
        <v>1</v>
      </c>
      <c r="S34" t="s">
        <v>68</v>
      </c>
      <c r="T34">
        <f t="shared" si="2"/>
        <v>0</v>
      </c>
      <c r="U34">
        <f t="shared" si="3"/>
        <v>1</v>
      </c>
      <c r="V34">
        <f t="shared" si="4"/>
        <v>0</v>
      </c>
      <c r="W34">
        <f t="shared" si="5"/>
        <v>4</v>
      </c>
      <c r="X34">
        <f t="shared" si="6"/>
        <v>1</v>
      </c>
      <c r="Z34" s="5">
        <f t="shared" si="7"/>
        <v>-1</v>
      </c>
      <c r="AA34" s="5" t="e">
        <f t="shared" si="8"/>
        <v>#DIV/0!</v>
      </c>
      <c r="AB34" s="5">
        <f t="shared" si="9"/>
        <v>-1</v>
      </c>
      <c r="AC34" s="5">
        <f t="shared" si="10"/>
        <v>3</v>
      </c>
      <c r="AE34" s="5">
        <v>-1</v>
      </c>
      <c r="AF34" s="5">
        <v>0</v>
      </c>
      <c r="AG34" s="5">
        <v>-1</v>
      </c>
      <c r="AH34" s="5">
        <v>3</v>
      </c>
      <c r="AI34" t="s">
        <v>68</v>
      </c>
    </row>
    <row r="35" spans="1:35" x14ac:dyDescent="0.2">
      <c r="A35" s="1">
        <v>33</v>
      </c>
      <c r="B35" t="s">
        <v>69</v>
      </c>
      <c r="C35" t="s">
        <v>70</v>
      </c>
      <c r="D35">
        <v>6</v>
      </c>
      <c r="E35">
        <f>VLOOKUP(C35,Week4!$A$2:$B$67,2,FALSE)</f>
        <v>6</v>
      </c>
      <c r="F35">
        <f>VLOOKUP(C35,Week3!$A$2:$B$61,2,FALSE)</f>
        <v>4</v>
      </c>
      <c r="G35">
        <f>VLOOKUP(C35,Week2!$A$2:$B$54,2,FALSE)</f>
        <v>4</v>
      </c>
      <c r="H35">
        <f>VLOOKUP(C35,Week1!$A$2:$B$39,2,FALSE)</f>
        <v>3</v>
      </c>
      <c r="K35" t="s">
        <v>70</v>
      </c>
      <c r="L35">
        <v>6</v>
      </c>
      <c r="M35">
        <v>6</v>
      </c>
      <c r="N35">
        <v>4</v>
      </c>
      <c r="O35">
        <v>4</v>
      </c>
      <c r="P35">
        <v>3</v>
      </c>
      <c r="S35" t="s">
        <v>70</v>
      </c>
      <c r="T35">
        <f t="shared" si="2"/>
        <v>0</v>
      </c>
      <c r="U35">
        <f t="shared" si="3"/>
        <v>2</v>
      </c>
      <c r="V35">
        <f t="shared" si="4"/>
        <v>0</v>
      </c>
      <c r="W35">
        <f t="shared" si="5"/>
        <v>1</v>
      </c>
      <c r="X35">
        <f t="shared" si="6"/>
        <v>3</v>
      </c>
      <c r="Z35" s="5">
        <f t="shared" si="7"/>
        <v>-1</v>
      </c>
      <c r="AA35" s="5" t="e">
        <f t="shared" si="8"/>
        <v>#DIV/0!</v>
      </c>
      <c r="AB35" s="5">
        <f t="shared" si="9"/>
        <v>-1</v>
      </c>
      <c r="AC35" s="5">
        <f t="shared" si="10"/>
        <v>-0.66666666666666663</v>
      </c>
      <c r="AE35" s="5">
        <v>-1</v>
      </c>
      <c r="AF35" s="5">
        <v>0</v>
      </c>
      <c r="AG35" s="5">
        <v>-1</v>
      </c>
      <c r="AH35" s="5">
        <v>-0.66666666666666663</v>
      </c>
      <c r="AI35" t="s">
        <v>70</v>
      </c>
    </row>
    <row r="36" spans="1:35" x14ac:dyDescent="0.2">
      <c r="A36" s="1">
        <v>34</v>
      </c>
      <c r="B36" t="s">
        <v>71</v>
      </c>
      <c r="C36" t="s">
        <v>72</v>
      </c>
      <c r="D36">
        <v>6</v>
      </c>
      <c r="E36">
        <f>VLOOKUP(C36,Week4!$A$2:$B$67,2,FALSE)</f>
        <v>4</v>
      </c>
      <c r="F36">
        <f>VLOOKUP(C36,Week3!$A$2:$B$61,2,FALSE)</f>
        <v>4</v>
      </c>
      <c r="G36">
        <f>VLOOKUP(C36,Week2!$A$2:$B$54,2,FALSE)</f>
        <v>3</v>
      </c>
      <c r="H36">
        <f>VLOOKUP(C36,Week1!$A$2:$B$39,2,FALSE)</f>
        <v>1</v>
      </c>
      <c r="K36" t="s">
        <v>72</v>
      </c>
      <c r="L36">
        <v>6</v>
      </c>
      <c r="M36">
        <v>4</v>
      </c>
      <c r="N36">
        <v>4</v>
      </c>
      <c r="O36">
        <v>3</v>
      </c>
      <c r="P36">
        <v>1</v>
      </c>
      <c r="S36" t="s">
        <v>72</v>
      </c>
      <c r="T36">
        <f t="shared" si="2"/>
        <v>2</v>
      </c>
      <c r="U36">
        <f t="shared" si="3"/>
        <v>0</v>
      </c>
      <c r="V36">
        <f t="shared" si="4"/>
        <v>1</v>
      </c>
      <c r="W36">
        <f t="shared" si="5"/>
        <v>2</v>
      </c>
      <c r="X36">
        <f t="shared" si="6"/>
        <v>1</v>
      </c>
      <c r="Z36" s="5" t="e">
        <f t="shared" si="7"/>
        <v>#DIV/0!</v>
      </c>
      <c r="AA36" s="5">
        <f t="shared" si="8"/>
        <v>-1</v>
      </c>
      <c r="AB36" s="5">
        <f t="shared" si="9"/>
        <v>-0.5</v>
      </c>
      <c r="AC36" s="5">
        <f t="shared" si="10"/>
        <v>1</v>
      </c>
      <c r="AE36" s="5">
        <v>0</v>
      </c>
      <c r="AF36" s="5">
        <v>-1</v>
      </c>
      <c r="AG36" s="5">
        <v>-0.5</v>
      </c>
      <c r="AH36" s="5">
        <v>1</v>
      </c>
      <c r="AI36" t="s">
        <v>72</v>
      </c>
    </row>
    <row r="37" spans="1:35" x14ac:dyDescent="0.2">
      <c r="A37" s="1">
        <v>35</v>
      </c>
      <c r="B37" t="s">
        <v>73</v>
      </c>
      <c r="C37" t="s">
        <v>74</v>
      </c>
      <c r="D37">
        <v>6</v>
      </c>
      <c r="E37">
        <f>VLOOKUP(C37,Week4!$A$2:$B$67,2,FALSE)</f>
        <v>3</v>
      </c>
      <c r="F37">
        <f>VLOOKUP(C37,Week3!$A$2:$B$61,2,FALSE)</f>
        <v>3</v>
      </c>
      <c r="G37" t="e">
        <f>VLOOKUP(C37,Week2!$A$2:$B$54,2,FALSE)</f>
        <v>#N/A</v>
      </c>
      <c r="H37" t="e">
        <f>VLOOKUP(C37,Week1!$A$2:$B$39,2,FALSE)</f>
        <v>#N/A</v>
      </c>
      <c r="K37" t="s">
        <v>74</v>
      </c>
      <c r="L37">
        <v>6</v>
      </c>
      <c r="M37">
        <v>3</v>
      </c>
      <c r="N37">
        <v>3</v>
      </c>
      <c r="O37">
        <v>0</v>
      </c>
      <c r="P37">
        <v>0</v>
      </c>
      <c r="S37" t="s">
        <v>74</v>
      </c>
      <c r="T37">
        <f t="shared" si="2"/>
        <v>3</v>
      </c>
      <c r="U37">
        <f t="shared" si="3"/>
        <v>0</v>
      </c>
      <c r="V37">
        <f t="shared" si="4"/>
        <v>3</v>
      </c>
      <c r="W37">
        <f t="shared" si="5"/>
        <v>0</v>
      </c>
      <c r="X37">
        <f t="shared" si="6"/>
        <v>0</v>
      </c>
      <c r="Z37" s="5" t="e">
        <f t="shared" si="7"/>
        <v>#DIV/0!</v>
      </c>
      <c r="AA37" s="5">
        <f t="shared" si="8"/>
        <v>-1</v>
      </c>
      <c r="AB37" s="5" t="e">
        <f t="shared" si="9"/>
        <v>#DIV/0!</v>
      </c>
      <c r="AC37" s="5" t="e">
        <f t="shared" si="10"/>
        <v>#DIV/0!</v>
      </c>
      <c r="AE37" s="5">
        <v>0</v>
      </c>
      <c r="AF37" s="5">
        <v>-1</v>
      </c>
      <c r="AG37" s="5">
        <v>0</v>
      </c>
      <c r="AH37" s="5">
        <v>0</v>
      </c>
      <c r="AI37" t="s">
        <v>74</v>
      </c>
    </row>
    <row r="38" spans="1:35" x14ac:dyDescent="0.2">
      <c r="A38" s="1">
        <v>36</v>
      </c>
      <c r="B38" t="s">
        <v>75</v>
      </c>
      <c r="C38" t="s">
        <v>76</v>
      </c>
      <c r="D38">
        <v>6</v>
      </c>
      <c r="E38">
        <f>VLOOKUP(C38,Week4!$A$2:$B$67,2,FALSE)</f>
        <v>3</v>
      </c>
      <c r="F38">
        <f>VLOOKUP(C38,Week3!$A$2:$B$61,2,FALSE)</f>
        <v>2</v>
      </c>
      <c r="G38">
        <f>VLOOKUP(C38,Week2!$A$2:$B$54,2,FALSE)</f>
        <v>2</v>
      </c>
      <c r="H38">
        <f>VLOOKUP(C38,Week1!$A$2:$B$39,2,FALSE)</f>
        <v>1</v>
      </c>
      <c r="K38" t="s">
        <v>76</v>
      </c>
      <c r="L38">
        <v>6</v>
      </c>
      <c r="M38">
        <v>3</v>
      </c>
      <c r="N38">
        <v>2</v>
      </c>
      <c r="O38">
        <v>2</v>
      </c>
      <c r="P38">
        <v>1</v>
      </c>
      <c r="S38" t="s">
        <v>76</v>
      </c>
      <c r="T38">
        <f t="shared" si="2"/>
        <v>3</v>
      </c>
      <c r="U38">
        <f t="shared" si="3"/>
        <v>1</v>
      </c>
      <c r="V38">
        <f t="shared" si="4"/>
        <v>0</v>
      </c>
      <c r="W38">
        <f t="shared" si="5"/>
        <v>1</v>
      </c>
      <c r="X38">
        <f t="shared" si="6"/>
        <v>1</v>
      </c>
      <c r="Z38" s="5">
        <f t="shared" si="7"/>
        <v>2</v>
      </c>
      <c r="AA38" s="5" t="e">
        <f t="shared" si="8"/>
        <v>#DIV/0!</v>
      </c>
      <c r="AB38" s="5">
        <f t="shared" si="9"/>
        <v>-1</v>
      </c>
      <c r="AC38" s="5">
        <f t="shared" si="10"/>
        <v>0</v>
      </c>
      <c r="AE38" s="5">
        <v>2</v>
      </c>
      <c r="AF38" s="5">
        <v>0</v>
      </c>
      <c r="AG38" s="5">
        <v>-1</v>
      </c>
      <c r="AH38" s="5">
        <v>0</v>
      </c>
      <c r="AI38" t="s">
        <v>76</v>
      </c>
    </row>
    <row r="39" spans="1:35" x14ac:dyDescent="0.2">
      <c r="A39" s="1">
        <v>37</v>
      </c>
      <c r="B39" t="s">
        <v>77</v>
      </c>
      <c r="C39" t="s">
        <v>78</v>
      </c>
      <c r="D39">
        <v>6</v>
      </c>
      <c r="E39">
        <f>VLOOKUP(C39,Week4!$A$2:$B$67,2,FALSE)</f>
        <v>5</v>
      </c>
      <c r="F39">
        <f>VLOOKUP(C39,Week3!$A$2:$B$61,2,FALSE)</f>
        <v>2</v>
      </c>
      <c r="G39" t="e">
        <f>VLOOKUP(C39,Week2!$A$2:$B$54,2,FALSE)</f>
        <v>#N/A</v>
      </c>
      <c r="H39" t="e">
        <f>VLOOKUP(C39,Week1!$A$2:$B$39,2,FALSE)</f>
        <v>#N/A</v>
      </c>
      <c r="K39" t="s">
        <v>78</v>
      </c>
      <c r="L39">
        <v>6</v>
      </c>
      <c r="M39">
        <v>5</v>
      </c>
      <c r="N39">
        <v>2</v>
      </c>
      <c r="O39">
        <v>0</v>
      </c>
      <c r="P39">
        <v>0</v>
      </c>
      <c r="S39" t="s">
        <v>78</v>
      </c>
      <c r="T39">
        <f t="shared" si="2"/>
        <v>1</v>
      </c>
      <c r="U39">
        <f t="shared" si="3"/>
        <v>3</v>
      </c>
      <c r="V39">
        <f t="shared" si="4"/>
        <v>2</v>
      </c>
      <c r="W39">
        <f t="shared" si="5"/>
        <v>0</v>
      </c>
      <c r="X39">
        <f t="shared" si="6"/>
        <v>0</v>
      </c>
      <c r="Z39" s="5">
        <f t="shared" si="7"/>
        <v>-0.66666666666666663</v>
      </c>
      <c r="AA39" s="5">
        <f t="shared" si="8"/>
        <v>0.5</v>
      </c>
      <c r="AB39" s="5" t="e">
        <f t="shared" si="9"/>
        <v>#DIV/0!</v>
      </c>
      <c r="AC39" s="5" t="e">
        <f t="shared" si="10"/>
        <v>#DIV/0!</v>
      </c>
      <c r="AE39" s="5">
        <v>-0.66666666666666663</v>
      </c>
      <c r="AF39" s="5">
        <v>0.5</v>
      </c>
      <c r="AG39" s="5">
        <v>0</v>
      </c>
      <c r="AH39" s="5">
        <v>0</v>
      </c>
      <c r="AI39" t="s">
        <v>78</v>
      </c>
    </row>
    <row r="40" spans="1:35" x14ac:dyDescent="0.2">
      <c r="A40" s="1">
        <v>38</v>
      </c>
      <c r="B40" t="s">
        <v>79</v>
      </c>
      <c r="C40" t="s">
        <v>80</v>
      </c>
      <c r="D40">
        <v>5</v>
      </c>
      <c r="E40">
        <f>VLOOKUP(C40,Week4!$A$2:$B$67,2,FALSE)</f>
        <v>4</v>
      </c>
      <c r="F40">
        <f>VLOOKUP(C40,Week3!$A$2:$B$61,2,FALSE)</f>
        <v>4</v>
      </c>
      <c r="G40">
        <f>VLOOKUP(C40,Week2!$A$2:$B$54,2,FALSE)</f>
        <v>3</v>
      </c>
      <c r="H40">
        <f>VLOOKUP(C40,Week1!$A$2:$B$39,2,FALSE)</f>
        <v>1</v>
      </c>
      <c r="K40" t="s">
        <v>80</v>
      </c>
      <c r="L40">
        <v>5</v>
      </c>
      <c r="M40">
        <v>4</v>
      </c>
      <c r="N40">
        <v>4</v>
      </c>
      <c r="O40">
        <v>3</v>
      </c>
      <c r="P40">
        <v>1</v>
      </c>
      <c r="S40" t="s">
        <v>80</v>
      </c>
      <c r="T40">
        <f t="shared" si="2"/>
        <v>1</v>
      </c>
      <c r="U40">
        <f t="shared" si="3"/>
        <v>0</v>
      </c>
      <c r="V40">
        <f t="shared" si="4"/>
        <v>1</v>
      </c>
      <c r="W40">
        <f t="shared" si="5"/>
        <v>2</v>
      </c>
      <c r="X40">
        <f t="shared" si="6"/>
        <v>1</v>
      </c>
      <c r="Z40" s="5" t="e">
        <f t="shared" si="7"/>
        <v>#DIV/0!</v>
      </c>
      <c r="AA40" s="5">
        <f t="shared" si="8"/>
        <v>-1</v>
      </c>
      <c r="AB40" s="5">
        <f t="shared" si="9"/>
        <v>-0.5</v>
      </c>
      <c r="AC40" s="5">
        <f t="shared" si="10"/>
        <v>1</v>
      </c>
      <c r="AE40" s="5">
        <v>0</v>
      </c>
      <c r="AF40" s="5">
        <v>-1</v>
      </c>
      <c r="AG40" s="5">
        <v>-0.5</v>
      </c>
      <c r="AH40" s="5">
        <v>1</v>
      </c>
      <c r="AI40" t="s">
        <v>80</v>
      </c>
    </row>
    <row r="41" spans="1:35" x14ac:dyDescent="0.2">
      <c r="A41" s="1">
        <v>39</v>
      </c>
      <c r="B41" t="s">
        <v>81</v>
      </c>
      <c r="C41" t="s">
        <v>82</v>
      </c>
      <c r="D41">
        <v>5</v>
      </c>
      <c r="E41">
        <f>VLOOKUP(C41,Week4!$A$2:$B$67,2,FALSE)</f>
        <v>3</v>
      </c>
      <c r="F41">
        <f>VLOOKUP(C41,Week3!$A$2:$B$61,2,FALSE)</f>
        <v>2</v>
      </c>
      <c r="G41">
        <f>VLOOKUP(C41,Week2!$A$2:$B$54,2,FALSE)</f>
        <v>2</v>
      </c>
      <c r="H41" t="e">
        <f>VLOOKUP(C41,Week1!$A$2:$B$39,2,FALSE)</f>
        <v>#N/A</v>
      </c>
      <c r="K41" t="s">
        <v>82</v>
      </c>
      <c r="L41">
        <v>5</v>
      </c>
      <c r="M41">
        <v>3</v>
      </c>
      <c r="N41">
        <v>2</v>
      </c>
      <c r="O41">
        <v>2</v>
      </c>
      <c r="P41">
        <v>0</v>
      </c>
      <c r="S41" t="s">
        <v>82</v>
      </c>
      <c r="T41">
        <f t="shared" si="2"/>
        <v>2</v>
      </c>
      <c r="U41">
        <f t="shared" si="3"/>
        <v>1</v>
      </c>
      <c r="V41">
        <f t="shared" si="4"/>
        <v>0</v>
      </c>
      <c r="W41">
        <f t="shared" si="5"/>
        <v>2</v>
      </c>
      <c r="X41">
        <f t="shared" si="6"/>
        <v>0</v>
      </c>
      <c r="Z41" s="5">
        <f t="shared" si="7"/>
        <v>1</v>
      </c>
      <c r="AA41" s="5" t="e">
        <f t="shared" si="8"/>
        <v>#DIV/0!</v>
      </c>
      <c r="AB41" s="5">
        <f t="shared" si="9"/>
        <v>-1</v>
      </c>
      <c r="AC41" s="5" t="e">
        <f t="shared" si="10"/>
        <v>#DIV/0!</v>
      </c>
      <c r="AE41" s="5">
        <v>1</v>
      </c>
      <c r="AF41" s="5">
        <v>0</v>
      </c>
      <c r="AG41" s="5">
        <v>-1</v>
      </c>
      <c r="AH41" s="5">
        <v>0</v>
      </c>
      <c r="AI41" t="s">
        <v>82</v>
      </c>
    </row>
    <row r="42" spans="1:35" x14ac:dyDescent="0.2">
      <c r="A42" s="1">
        <v>40</v>
      </c>
      <c r="B42" t="s">
        <v>83</v>
      </c>
      <c r="C42" t="s">
        <v>84</v>
      </c>
      <c r="D42">
        <v>4</v>
      </c>
      <c r="E42">
        <f>VLOOKUP(C42,Week4!$A$2:$B$67,2,FALSE)</f>
        <v>3</v>
      </c>
      <c r="F42">
        <f>VLOOKUP(C42,Week3!$A$2:$B$61,2,FALSE)</f>
        <v>1</v>
      </c>
      <c r="G42">
        <f>VLOOKUP(C42,Week2!$A$2:$B$54,2,FALSE)</f>
        <v>1</v>
      </c>
      <c r="H42">
        <f>VLOOKUP(C42,Week1!$A$2:$B$39,2,FALSE)</f>
        <v>1</v>
      </c>
      <c r="K42" t="s">
        <v>84</v>
      </c>
      <c r="L42">
        <v>4</v>
      </c>
      <c r="M42">
        <v>3</v>
      </c>
      <c r="N42">
        <v>1</v>
      </c>
      <c r="O42">
        <v>1</v>
      </c>
      <c r="P42">
        <v>1</v>
      </c>
      <c r="S42" t="s">
        <v>84</v>
      </c>
      <c r="T42">
        <f t="shared" si="2"/>
        <v>1</v>
      </c>
      <c r="U42">
        <f t="shared" si="3"/>
        <v>2</v>
      </c>
      <c r="V42">
        <f t="shared" si="4"/>
        <v>0</v>
      </c>
      <c r="W42">
        <f t="shared" si="5"/>
        <v>0</v>
      </c>
      <c r="X42">
        <f t="shared" si="6"/>
        <v>1</v>
      </c>
      <c r="Z42" s="5">
        <f t="shared" si="7"/>
        <v>-0.5</v>
      </c>
      <c r="AA42" s="5" t="e">
        <f t="shared" si="8"/>
        <v>#DIV/0!</v>
      </c>
      <c r="AB42" s="5" t="e">
        <f t="shared" si="9"/>
        <v>#DIV/0!</v>
      </c>
      <c r="AC42" s="5">
        <f t="shared" si="10"/>
        <v>-1</v>
      </c>
      <c r="AE42" s="5">
        <v>-0.5</v>
      </c>
      <c r="AF42" s="5">
        <v>0</v>
      </c>
      <c r="AG42" s="5">
        <v>0</v>
      </c>
      <c r="AH42" s="5">
        <v>-1</v>
      </c>
      <c r="AI42" t="s">
        <v>84</v>
      </c>
    </row>
    <row r="43" spans="1:35" x14ac:dyDescent="0.2">
      <c r="A43" s="1">
        <v>41</v>
      </c>
      <c r="B43" t="s">
        <v>85</v>
      </c>
      <c r="C43" t="s">
        <v>86</v>
      </c>
      <c r="D43">
        <v>3</v>
      </c>
      <c r="E43">
        <f>VLOOKUP(C43,Week4!$A$2:$B$67,2,FALSE)</f>
        <v>2</v>
      </c>
      <c r="F43">
        <f>VLOOKUP(C43,Week3!$A$2:$B$61,2,FALSE)</f>
        <v>1</v>
      </c>
      <c r="G43">
        <f>VLOOKUP(C43,Week2!$A$2:$B$54,2,FALSE)</f>
        <v>1</v>
      </c>
      <c r="H43" t="e">
        <f>VLOOKUP(C43,Week1!$A$2:$B$39,2,FALSE)</f>
        <v>#N/A</v>
      </c>
      <c r="K43" t="s">
        <v>86</v>
      </c>
      <c r="L43">
        <v>3</v>
      </c>
      <c r="M43">
        <v>2</v>
      </c>
      <c r="N43">
        <v>1</v>
      </c>
      <c r="O43">
        <v>1</v>
      </c>
      <c r="P43">
        <v>0</v>
      </c>
      <c r="S43" t="s">
        <v>86</v>
      </c>
      <c r="T43">
        <f t="shared" si="2"/>
        <v>1</v>
      </c>
      <c r="U43">
        <f t="shared" si="3"/>
        <v>1</v>
      </c>
      <c r="V43">
        <f t="shared" si="4"/>
        <v>0</v>
      </c>
      <c r="W43">
        <f t="shared" si="5"/>
        <v>1</v>
      </c>
      <c r="X43">
        <f t="shared" si="6"/>
        <v>0</v>
      </c>
      <c r="Z43" s="5">
        <f t="shared" si="7"/>
        <v>0</v>
      </c>
      <c r="AA43" s="5" t="e">
        <f t="shared" si="8"/>
        <v>#DIV/0!</v>
      </c>
      <c r="AB43" s="5">
        <f t="shared" si="9"/>
        <v>-1</v>
      </c>
      <c r="AC43" s="5" t="e">
        <f t="shared" si="10"/>
        <v>#DIV/0!</v>
      </c>
      <c r="AE43" s="5">
        <v>0</v>
      </c>
      <c r="AF43" s="5">
        <v>0</v>
      </c>
      <c r="AG43" s="5">
        <v>-1</v>
      </c>
      <c r="AH43" s="5">
        <v>0</v>
      </c>
      <c r="AI43" t="s">
        <v>86</v>
      </c>
    </row>
    <row r="44" spans="1:35" x14ac:dyDescent="0.2">
      <c r="A44" s="1">
        <v>42</v>
      </c>
      <c r="B44" t="s">
        <v>87</v>
      </c>
      <c r="C44" t="s">
        <v>88</v>
      </c>
      <c r="D44">
        <v>3</v>
      </c>
      <c r="E44">
        <f>VLOOKUP(C44,Week4!$A$2:$B$67,2,FALSE)</f>
        <v>1</v>
      </c>
      <c r="F44">
        <f>VLOOKUP(C44,Week3!$A$2:$B$61,2,FALSE)</f>
        <v>1</v>
      </c>
      <c r="G44">
        <f>VLOOKUP(C44,Week2!$A$2:$B$54,2,FALSE)</f>
        <v>1</v>
      </c>
      <c r="H44" t="e">
        <f>VLOOKUP(C44,Week1!$A$2:$B$39,2,FALSE)</f>
        <v>#N/A</v>
      </c>
      <c r="K44" t="s">
        <v>88</v>
      </c>
      <c r="L44">
        <v>3</v>
      </c>
      <c r="M44">
        <v>1</v>
      </c>
      <c r="N44">
        <v>1</v>
      </c>
      <c r="O44">
        <v>1</v>
      </c>
      <c r="P44">
        <v>0</v>
      </c>
      <c r="S44" t="s">
        <v>88</v>
      </c>
      <c r="T44">
        <f t="shared" si="2"/>
        <v>2</v>
      </c>
      <c r="U44">
        <f t="shared" si="3"/>
        <v>0</v>
      </c>
      <c r="V44">
        <f t="shared" si="4"/>
        <v>0</v>
      </c>
      <c r="W44">
        <f t="shared" si="5"/>
        <v>1</v>
      </c>
      <c r="X44">
        <f t="shared" si="6"/>
        <v>0</v>
      </c>
      <c r="Z44" s="5" t="e">
        <f t="shared" si="7"/>
        <v>#DIV/0!</v>
      </c>
      <c r="AA44" s="5" t="e">
        <f t="shared" si="8"/>
        <v>#DIV/0!</v>
      </c>
      <c r="AB44" s="5">
        <f t="shared" si="9"/>
        <v>-1</v>
      </c>
      <c r="AC44" s="5" t="e">
        <f t="shared" si="10"/>
        <v>#DIV/0!</v>
      </c>
      <c r="AE44" s="5">
        <v>0</v>
      </c>
      <c r="AF44" s="5">
        <v>0</v>
      </c>
      <c r="AG44" s="5">
        <v>-1</v>
      </c>
      <c r="AH44" s="5">
        <v>0</v>
      </c>
      <c r="AI44" t="s">
        <v>88</v>
      </c>
    </row>
    <row r="45" spans="1:35" x14ac:dyDescent="0.2">
      <c r="A45" s="1">
        <v>43</v>
      </c>
      <c r="B45" t="s">
        <v>89</v>
      </c>
      <c r="C45" t="s">
        <v>90</v>
      </c>
      <c r="D45">
        <v>3</v>
      </c>
      <c r="E45">
        <f>VLOOKUP(C45,Week4!$A$2:$B$67,2,FALSE)</f>
        <v>2</v>
      </c>
      <c r="F45">
        <f>VLOOKUP(C45,Week3!$A$2:$B$61,2,FALSE)</f>
        <v>1</v>
      </c>
      <c r="G45" t="e">
        <f>VLOOKUP(C45,Week2!$A$2:$B$54,2,FALSE)</f>
        <v>#N/A</v>
      </c>
      <c r="H45" t="e">
        <f>VLOOKUP(C45,Week1!$A$2:$B$39,2,FALSE)</f>
        <v>#N/A</v>
      </c>
      <c r="K45" t="s">
        <v>90</v>
      </c>
      <c r="L45">
        <v>3</v>
      </c>
      <c r="M45">
        <v>2</v>
      </c>
      <c r="N45">
        <v>1</v>
      </c>
      <c r="O45">
        <v>0</v>
      </c>
      <c r="P45">
        <v>0</v>
      </c>
      <c r="S45" t="s">
        <v>90</v>
      </c>
      <c r="T45">
        <f t="shared" si="2"/>
        <v>1</v>
      </c>
      <c r="U45">
        <f t="shared" si="3"/>
        <v>1</v>
      </c>
      <c r="V45">
        <f t="shared" si="4"/>
        <v>1</v>
      </c>
      <c r="W45">
        <f t="shared" si="5"/>
        <v>0</v>
      </c>
      <c r="X45">
        <f t="shared" si="6"/>
        <v>0</v>
      </c>
      <c r="Z45" s="5">
        <f t="shared" si="7"/>
        <v>0</v>
      </c>
      <c r="AA45" s="5">
        <f t="shared" si="8"/>
        <v>0</v>
      </c>
      <c r="AB45" s="5" t="e">
        <f t="shared" si="9"/>
        <v>#DIV/0!</v>
      </c>
      <c r="AC45" s="5" t="e">
        <f t="shared" si="10"/>
        <v>#DIV/0!</v>
      </c>
      <c r="AE45" s="5">
        <v>0</v>
      </c>
      <c r="AF45" s="5">
        <v>0</v>
      </c>
      <c r="AG45" s="5">
        <v>0</v>
      </c>
      <c r="AH45" s="5">
        <v>0</v>
      </c>
      <c r="AI45" t="s">
        <v>90</v>
      </c>
    </row>
    <row r="46" spans="1:35" x14ac:dyDescent="0.2">
      <c r="A46" s="1">
        <v>44</v>
      </c>
      <c r="B46" t="s">
        <v>91</v>
      </c>
      <c r="C46" t="s">
        <v>92</v>
      </c>
      <c r="D46">
        <v>3</v>
      </c>
      <c r="E46">
        <f>VLOOKUP(C46,Week4!$A$2:$B$67,2,FALSE)</f>
        <v>3</v>
      </c>
      <c r="F46">
        <f>VLOOKUP(C46,Week3!$A$2:$B$61,2,FALSE)</f>
        <v>3</v>
      </c>
      <c r="G46">
        <f>VLOOKUP(C46,Week2!$A$2:$B$54,2,FALSE)</f>
        <v>1</v>
      </c>
      <c r="H46">
        <f>VLOOKUP(C46,Week1!$A$2:$B$39,2,FALSE)</f>
        <v>1</v>
      </c>
      <c r="K46" t="s">
        <v>92</v>
      </c>
      <c r="L46">
        <v>3</v>
      </c>
      <c r="M46">
        <v>3</v>
      </c>
      <c r="N46">
        <v>3</v>
      </c>
      <c r="O46">
        <v>1</v>
      </c>
      <c r="P46">
        <v>1</v>
      </c>
      <c r="S46" t="s">
        <v>92</v>
      </c>
      <c r="T46">
        <f t="shared" si="2"/>
        <v>0</v>
      </c>
      <c r="U46">
        <f t="shared" si="3"/>
        <v>0</v>
      </c>
      <c r="V46">
        <f t="shared" si="4"/>
        <v>2</v>
      </c>
      <c r="W46">
        <f t="shared" si="5"/>
        <v>0</v>
      </c>
      <c r="X46">
        <f t="shared" si="6"/>
        <v>1</v>
      </c>
      <c r="Z46" s="5" t="e">
        <f t="shared" si="7"/>
        <v>#DIV/0!</v>
      </c>
      <c r="AA46" s="5">
        <f t="shared" si="8"/>
        <v>-1</v>
      </c>
      <c r="AB46" s="5" t="e">
        <f t="shared" si="9"/>
        <v>#DIV/0!</v>
      </c>
      <c r="AC46" s="5">
        <f t="shared" si="10"/>
        <v>-1</v>
      </c>
      <c r="AE46" s="5">
        <v>0</v>
      </c>
      <c r="AF46" s="5">
        <v>-1</v>
      </c>
      <c r="AG46" s="5">
        <v>0</v>
      </c>
      <c r="AH46" s="5">
        <v>-1</v>
      </c>
      <c r="AI46" t="s">
        <v>92</v>
      </c>
    </row>
    <row r="47" spans="1:35" x14ac:dyDescent="0.2">
      <c r="A47" s="1">
        <v>45</v>
      </c>
      <c r="B47" t="s">
        <v>93</v>
      </c>
      <c r="C47" t="s">
        <v>94</v>
      </c>
      <c r="D47">
        <v>3</v>
      </c>
      <c r="E47">
        <f>VLOOKUP(C47,Week4!$A$2:$B$67,2,FALSE)</f>
        <v>3</v>
      </c>
      <c r="F47" t="e">
        <f>VLOOKUP(C47,Week3!$A$2:$B$61,2,FALSE)</f>
        <v>#N/A</v>
      </c>
      <c r="G47" t="e">
        <f>VLOOKUP(C47,Week2!$A$2:$B$54,2,FALSE)</f>
        <v>#N/A</v>
      </c>
      <c r="H47" t="e">
        <f>VLOOKUP(C47,Week1!$A$2:$B$39,2,FALSE)</f>
        <v>#N/A</v>
      </c>
      <c r="K47" t="s">
        <v>94</v>
      </c>
      <c r="L47">
        <v>3</v>
      </c>
      <c r="M47">
        <v>3</v>
      </c>
      <c r="N47">
        <v>0</v>
      </c>
      <c r="O47">
        <v>0</v>
      </c>
      <c r="P47">
        <v>0</v>
      </c>
      <c r="S47" t="s">
        <v>94</v>
      </c>
      <c r="T47">
        <f t="shared" si="2"/>
        <v>0</v>
      </c>
      <c r="U47">
        <f t="shared" si="3"/>
        <v>3</v>
      </c>
      <c r="V47">
        <f t="shared" si="4"/>
        <v>0</v>
      </c>
      <c r="W47">
        <f t="shared" si="5"/>
        <v>0</v>
      </c>
      <c r="X47">
        <f t="shared" si="6"/>
        <v>0</v>
      </c>
      <c r="Z47" s="5">
        <f t="shared" si="7"/>
        <v>-1</v>
      </c>
      <c r="AA47" s="5" t="e">
        <f t="shared" si="8"/>
        <v>#DIV/0!</v>
      </c>
      <c r="AB47" s="5" t="e">
        <f t="shared" si="9"/>
        <v>#DIV/0!</v>
      </c>
      <c r="AC47" s="5" t="e">
        <f t="shared" si="10"/>
        <v>#DIV/0!</v>
      </c>
      <c r="AE47" s="5">
        <v>-1</v>
      </c>
      <c r="AF47" s="5">
        <v>0</v>
      </c>
      <c r="AG47" s="5">
        <v>0</v>
      </c>
      <c r="AH47" s="5">
        <v>0</v>
      </c>
      <c r="AI47" t="s">
        <v>94</v>
      </c>
    </row>
    <row r="48" spans="1:35" x14ac:dyDescent="0.2">
      <c r="A48" s="1">
        <v>46</v>
      </c>
      <c r="B48" t="s">
        <v>95</v>
      </c>
      <c r="C48" t="s">
        <v>96</v>
      </c>
      <c r="D48">
        <v>2</v>
      </c>
      <c r="E48">
        <f>VLOOKUP(C48,Week4!$A$2:$B$67,2,FALSE)</f>
        <v>2</v>
      </c>
      <c r="F48">
        <f>VLOOKUP(C48,Week3!$A$2:$B$61,2,FALSE)</f>
        <v>1</v>
      </c>
      <c r="G48">
        <f>VLOOKUP(C48,Week2!$A$2:$B$54,2,FALSE)</f>
        <v>1</v>
      </c>
      <c r="H48">
        <f>VLOOKUP(C48,Week1!$A$2:$B$39,2,FALSE)</f>
        <v>1</v>
      </c>
      <c r="K48" t="s">
        <v>96</v>
      </c>
      <c r="L48">
        <v>2</v>
      </c>
      <c r="M48">
        <v>2</v>
      </c>
      <c r="N48">
        <v>1</v>
      </c>
      <c r="O48">
        <v>1</v>
      </c>
      <c r="P48">
        <v>1</v>
      </c>
      <c r="S48" t="s">
        <v>96</v>
      </c>
      <c r="T48">
        <f t="shared" si="2"/>
        <v>0</v>
      </c>
      <c r="U48">
        <f t="shared" si="3"/>
        <v>1</v>
      </c>
      <c r="V48">
        <f t="shared" si="4"/>
        <v>0</v>
      </c>
      <c r="W48">
        <f t="shared" si="5"/>
        <v>0</v>
      </c>
      <c r="X48">
        <f t="shared" si="6"/>
        <v>1</v>
      </c>
      <c r="Z48" s="5">
        <f t="shared" si="7"/>
        <v>-1</v>
      </c>
      <c r="AA48" s="5" t="e">
        <f t="shared" si="8"/>
        <v>#DIV/0!</v>
      </c>
      <c r="AB48" s="5" t="e">
        <f t="shared" si="9"/>
        <v>#DIV/0!</v>
      </c>
      <c r="AC48" s="5">
        <f t="shared" si="10"/>
        <v>-1</v>
      </c>
      <c r="AE48" s="5">
        <v>-1</v>
      </c>
      <c r="AF48" s="5">
        <v>0</v>
      </c>
      <c r="AG48" s="5">
        <v>0</v>
      </c>
      <c r="AH48" s="5">
        <v>-1</v>
      </c>
      <c r="AI48" t="s">
        <v>96</v>
      </c>
    </row>
    <row r="49" spans="1:35" x14ac:dyDescent="0.2">
      <c r="A49" s="1">
        <v>47</v>
      </c>
      <c r="B49" t="s">
        <v>97</v>
      </c>
      <c r="C49" t="s">
        <v>98</v>
      </c>
      <c r="D49">
        <v>2</v>
      </c>
      <c r="E49">
        <f>VLOOKUP(C49,Week4!$A$2:$B$67,2,FALSE)</f>
        <v>2</v>
      </c>
      <c r="F49">
        <f>VLOOKUP(C49,Week3!$A$2:$B$61,2,FALSE)</f>
        <v>2</v>
      </c>
      <c r="G49">
        <f>VLOOKUP(C49,Week2!$A$2:$B$54,2,FALSE)</f>
        <v>2</v>
      </c>
      <c r="H49" t="e">
        <f>VLOOKUP(C49,Week1!$A$2:$B$39,2,FALSE)</f>
        <v>#N/A</v>
      </c>
      <c r="K49" t="s">
        <v>98</v>
      </c>
      <c r="L49">
        <v>2</v>
      </c>
      <c r="M49">
        <v>2</v>
      </c>
      <c r="N49">
        <v>2</v>
      </c>
      <c r="O49">
        <v>2</v>
      </c>
      <c r="P49">
        <v>0</v>
      </c>
      <c r="S49" t="s">
        <v>98</v>
      </c>
      <c r="T49">
        <f t="shared" si="2"/>
        <v>0</v>
      </c>
      <c r="U49">
        <f t="shared" si="3"/>
        <v>0</v>
      </c>
      <c r="V49">
        <f t="shared" si="4"/>
        <v>0</v>
      </c>
      <c r="W49">
        <f t="shared" si="5"/>
        <v>2</v>
      </c>
      <c r="X49">
        <f t="shared" si="6"/>
        <v>0</v>
      </c>
      <c r="Z49" s="5" t="e">
        <f t="shared" si="7"/>
        <v>#DIV/0!</v>
      </c>
      <c r="AA49" s="5" t="e">
        <f t="shared" si="8"/>
        <v>#DIV/0!</v>
      </c>
      <c r="AB49" s="5">
        <f t="shared" si="9"/>
        <v>-1</v>
      </c>
      <c r="AC49" s="5" t="e">
        <f t="shared" si="10"/>
        <v>#DIV/0!</v>
      </c>
      <c r="AE49" s="5">
        <v>0</v>
      </c>
      <c r="AF49" s="5">
        <v>0</v>
      </c>
      <c r="AG49" s="5">
        <v>-1</v>
      </c>
      <c r="AH49" s="5">
        <v>0</v>
      </c>
      <c r="AI49" t="s">
        <v>98</v>
      </c>
    </row>
    <row r="50" spans="1:35" x14ac:dyDescent="0.2">
      <c r="A50" s="1">
        <v>48</v>
      </c>
      <c r="B50" t="s">
        <v>99</v>
      </c>
      <c r="C50" t="s">
        <v>100</v>
      </c>
      <c r="D50">
        <v>2</v>
      </c>
      <c r="E50">
        <f>VLOOKUP(C50,Week4!$A$2:$B$67,2,FALSE)</f>
        <v>2</v>
      </c>
      <c r="F50">
        <f>VLOOKUP(C50,Week3!$A$2:$B$61,2,FALSE)</f>
        <v>1</v>
      </c>
      <c r="G50">
        <f>VLOOKUP(C50,Week2!$A$2:$B$54,2,FALSE)</f>
        <v>1</v>
      </c>
      <c r="H50">
        <f>VLOOKUP(C50,Week1!$A$2:$B$39,2,FALSE)</f>
        <v>1</v>
      </c>
      <c r="K50" t="s">
        <v>100</v>
      </c>
      <c r="L50">
        <v>2</v>
      </c>
      <c r="M50">
        <v>2</v>
      </c>
      <c r="N50">
        <v>1</v>
      </c>
      <c r="O50">
        <v>1</v>
      </c>
      <c r="P50">
        <v>1</v>
      </c>
      <c r="S50" t="s">
        <v>100</v>
      </c>
      <c r="T50">
        <f t="shared" si="2"/>
        <v>0</v>
      </c>
      <c r="U50">
        <f t="shared" si="3"/>
        <v>1</v>
      </c>
      <c r="V50">
        <f t="shared" si="4"/>
        <v>0</v>
      </c>
      <c r="W50">
        <f t="shared" si="5"/>
        <v>0</v>
      </c>
      <c r="X50">
        <f t="shared" si="6"/>
        <v>1</v>
      </c>
      <c r="Z50" s="5">
        <f t="shared" si="7"/>
        <v>-1</v>
      </c>
      <c r="AA50" s="5" t="e">
        <f t="shared" si="8"/>
        <v>#DIV/0!</v>
      </c>
      <c r="AB50" s="5" t="e">
        <f t="shared" si="9"/>
        <v>#DIV/0!</v>
      </c>
      <c r="AC50" s="5">
        <f t="shared" si="10"/>
        <v>-1</v>
      </c>
      <c r="AE50" s="5">
        <v>-1</v>
      </c>
      <c r="AF50" s="5">
        <v>0</v>
      </c>
      <c r="AG50" s="5">
        <v>0</v>
      </c>
      <c r="AH50" s="5">
        <v>-1</v>
      </c>
      <c r="AI50" t="s">
        <v>100</v>
      </c>
    </row>
    <row r="51" spans="1:35" x14ac:dyDescent="0.2">
      <c r="A51" s="1">
        <v>49</v>
      </c>
      <c r="B51" t="s">
        <v>101</v>
      </c>
      <c r="C51" t="s">
        <v>102</v>
      </c>
      <c r="D51">
        <v>2</v>
      </c>
      <c r="E51">
        <f>VLOOKUP(C51,Week4!$A$2:$B$67,2,FALSE)</f>
        <v>2</v>
      </c>
      <c r="F51">
        <f>VLOOKUP(C51,Week3!$A$2:$B$61,2,FALSE)</f>
        <v>2</v>
      </c>
      <c r="G51">
        <f>VLOOKUP(C51,Week2!$A$2:$B$54,2,FALSE)</f>
        <v>2</v>
      </c>
      <c r="H51">
        <f>VLOOKUP(C51,Week1!$A$2:$B$39,2,FALSE)</f>
        <v>1</v>
      </c>
      <c r="K51" t="s">
        <v>102</v>
      </c>
      <c r="L51">
        <v>2</v>
      </c>
      <c r="M51">
        <v>2</v>
      </c>
      <c r="N51">
        <v>2</v>
      </c>
      <c r="O51">
        <v>2</v>
      </c>
      <c r="P51">
        <v>1</v>
      </c>
      <c r="S51" t="s">
        <v>102</v>
      </c>
      <c r="T51">
        <f t="shared" si="2"/>
        <v>0</v>
      </c>
      <c r="U51">
        <f t="shared" si="3"/>
        <v>0</v>
      </c>
      <c r="V51">
        <f t="shared" si="4"/>
        <v>0</v>
      </c>
      <c r="W51">
        <f t="shared" si="5"/>
        <v>1</v>
      </c>
      <c r="X51">
        <f t="shared" si="6"/>
        <v>1</v>
      </c>
      <c r="Z51" s="5" t="e">
        <f t="shared" si="7"/>
        <v>#DIV/0!</v>
      </c>
      <c r="AA51" s="5" t="e">
        <f t="shared" si="8"/>
        <v>#DIV/0!</v>
      </c>
      <c r="AB51" s="5">
        <f t="shared" si="9"/>
        <v>-1</v>
      </c>
      <c r="AC51" s="5">
        <f t="shared" si="10"/>
        <v>0</v>
      </c>
      <c r="AE51" s="5">
        <v>0</v>
      </c>
      <c r="AF51" s="5">
        <v>0</v>
      </c>
      <c r="AG51" s="5">
        <v>-1</v>
      </c>
      <c r="AH51" s="5">
        <v>0</v>
      </c>
      <c r="AI51" t="s">
        <v>102</v>
      </c>
    </row>
    <row r="52" spans="1:35" x14ac:dyDescent="0.2">
      <c r="A52" s="1">
        <v>50</v>
      </c>
      <c r="B52" t="s">
        <v>103</v>
      </c>
      <c r="C52" t="s">
        <v>104</v>
      </c>
      <c r="D52">
        <v>2</v>
      </c>
      <c r="E52">
        <f>VLOOKUP(C52,Week4!$A$2:$B$67,2,FALSE)</f>
        <v>2</v>
      </c>
      <c r="F52">
        <f>VLOOKUP(C52,Week3!$A$2:$B$61,2,FALSE)</f>
        <v>2</v>
      </c>
      <c r="G52">
        <f>VLOOKUP(C52,Week2!$A$2:$B$54,2,FALSE)</f>
        <v>2</v>
      </c>
      <c r="H52" t="e">
        <f>VLOOKUP(C52,Week1!$A$2:$B$39,2,FALSE)</f>
        <v>#N/A</v>
      </c>
      <c r="K52" t="s">
        <v>104</v>
      </c>
      <c r="L52">
        <v>2</v>
      </c>
      <c r="M52">
        <v>2</v>
      </c>
      <c r="N52">
        <v>2</v>
      </c>
      <c r="O52">
        <v>2</v>
      </c>
      <c r="P52">
        <v>0</v>
      </c>
      <c r="S52" t="s">
        <v>104</v>
      </c>
      <c r="T52">
        <f t="shared" si="2"/>
        <v>0</v>
      </c>
      <c r="U52">
        <f t="shared" si="3"/>
        <v>0</v>
      </c>
      <c r="V52">
        <f t="shared" si="4"/>
        <v>0</v>
      </c>
      <c r="W52">
        <f t="shared" si="5"/>
        <v>2</v>
      </c>
      <c r="X52">
        <f t="shared" si="6"/>
        <v>0</v>
      </c>
      <c r="Z52" s="5" t="e">
        <f t="shared" si="7"/>
        <v>#DIV/0!</v>
      </c>
      <c r="AA52" s="5" t="e">
        <f t="shared" si="8"/>
        <v>#DIV/0!</v>
      </c>
      <c r="AB52" s="5">
        <f t="shared" si="9"/>
        <v>-1</v>
      </c>
      <c r="AC52" s="5" t="e">
        <f t="shared" si="10"/>
        <v>#DIV/0!</v>
      </c>
      <c r="AE52" s="5">
        <v>0</v>
      </c>
      <c r="AF52" s="5">
        <v>0</v>
      </c>
      <c r="AG52" s="5">
        <v>-1</v>
      </c>
      <c r="AH52" s="5">
        <v>0</v>
      </c>
      <c r="AI52" t="s">
        <v>104</v>
      </c>
    </row>
    <row r="53" spans="1:35" x14ac:dyDescent="0.2">
      <c r="A53" s="1">
        <v>51</v>
      </c>
      <c r="B53" t="s">
        <v>105</v>
      </c>
      <c r="C53" t="s">
        <v>106</v>
      </c>
      <c r="D53">
        <v>2</v>
      </c>
      <c r="E53">
        <f>VLOOKUP(C53,Week4!$A$2:$B$67,2,FALSE)</f>
        <v>1</v>
      </c>
      <c r="F53">
        <f>VLOOKUP(C53,Week3!$A$2:$B$61,2,FALSE)</f>
        <v>1</v>
      </c>
      <c r="G53">
        <f>VLOOKUP(C53,Week2!$A$2:$B$54,2,FALSE)</f>
        <v>1</v>
      </c>
      <c r="H53" t="e">
        <f>VLOOKUP(C53,Week1!$A$2:$B$39,2,FALSE)</f>
        <v>#N/A</v>
      </c>
      <c r="K53" t="s">
        <v>106</v>
      </c>
      <c r="L53">
        <v>2</v>
      </c>
      <c r="M53">
        <v>1</v>
      </c>
      <c r="N53">
        <v>1</v>
      </c>
      <c r="O53">
        <v>1</v>
      </c>
      <c r="P53">
        <v>0</v>
      </c>
      <c r="S53" t="s">
        <v>106</v>
      </c>
      <c r="T53">
        <f t="shared" si="2"/>
        <v>1</v>
      </c>
      <c r="U53">
        <f t="shared" si="3"/>
        <v>0</v>
      </c>
      <c r="V53">
        <f t="shared" si="4"/>
        <v>0</v>
      </c>
      <c r="W53">
        <f t="shared" si="5"/>
        <v>1</v>
      </c>
      <c r="X53">
        <f t="shared" si="6"/>
        <v>0</v>
      </c>
      <c r="Z53" s="5" t="e">
        <f t="shared" si="7"/>
        <v>#DIV/0!</v>
      </c>
      <c r="AA53" s="5" t="e">
        <f t="shared" si="8"/>
        <v>#DIV/0!</v>
      </c>
      <c r="AB53" s="5">
        <f t="shared" si="9"/>
        <v>-1</v>
      </c>
      <c r="AC53" s="5" t="e">
        <f t="shared" si="10"/>
        <v>#DIV/0!</v>
      </c>
      <c r="AE53" s="5">
        <v>0</v>
      </c>
      <c r="AF53" s="5">
        <v>0</v>
      </c>
      <c r="AG53" s="5">
        <v>-1</v>
      </c>
      <c r="AH53" s="5">
        <v>0</v>
      </c>
      <c r="AI53" t="s">
        <v>106</v>
      </c>
    </row>
    <row r="54" spans="1:35" x14ac:dyDescent="0.2">
      <c r="A54" s="1">
        <v>52</v>
      </c>
      <c r="B54" t="s">
        <v>107</v>
      </c>
      <c r="C54" t="s">
        <v>108</v>
      </c>
      <c r="D54">
        <v>2</v>
      </c>
      <c r="E54">
        <f>VLOOKUP(C54,Week4!$A$2:$B$67,2,FALSE)</f>
        <v>2</v>
      </c>
      <c r="F54">
        <f>VLOOKUP(C54,Week3!$A$2:$B$61,2,FALSE)</f>
        <v>1</v>
      </c>
      <c r="G54" t="e">
        <f>VLOOKUP(C54,Week2!$A$2:$B$54,2,FALSE)</f>
        <v>#N/A</v>
      </c>
      <c r="H54" t="e">
        <f>VLOOKUP(C54,Week1!$A$2:$B$39,2,FALSE)</f>
        <v>#N/A</v>
      </c>
      <c r="K54" t="s">
        <v>108</v>
      </c>
      <c r="L54">
        <v>2</v>
      </c>
      <c r="M54">
        <v>2</v>
      </c>
      <c r="N54">
        <v>1</v>
      </c>
      <c r="O54">
        <v>0</v>
      </c>
      <c r="P54">
        <v>0</v>
      </c>
      <c r="S54" t="s">
        <v>108</v>
      </c>
      <c r="T54">
        <f t="shared" si="2"/>
        <v>0</v>
      </c>
      <c r="U54">
        <f t="shared" si="3"/>
        <v>1</v>
      </c>
      <c r="V54">
        <f t="shared" si="4"/>
        <v>1</v>
      </c>
      <c r="W54">
        <f t="shared" si="5"/>
        <v>0</v>
      </c>
      <c r="X54">
        <f t="shared" si="6"/>
        <v>0</v>
      </c>
      <c r="Z54" s="5">
        <f t="shared" si="7"/>
        <v>-1</v>
      </c>
      <c r="AA54" s="5">
        <f t="shared" si="8"/>
        <v>0</v>
      </c>
      <c r="AB54" s="5" t="e">
        <f t="shared" si="9"/>
        <v>#DIV/0!</v>
      </c>
      <c r="AC54" s="5" t="e">
        <f t="shared" si="10"/>
        <v>#DIV/0!</v>
      </c>
      <c r="AE54" s="5">
        <v>-1</v>
      </c>
      <c r="AF54" s="5">
        <v>0</v>
      </c>
      <c r="AG54" s="5">
        <v>0</v>
      </c>
      <c r="AH54" s="5">
        <v>0</v>
      </c>
      <c r="AI54" t="s">
        <v>108</v>
      </c>
    </row>
    <row r="55" spans="1:35" x14ac:dyDescent="0.2">
      <c r="A55" s="1">
        <v>53</v>
      </c>
      <c r="B55" t="s">
        <v>109</v>
      </c>
      <c r="C55" t="s">
        <v>110</v>
      </c>
      <c r="D55">
        <v>2</v>
      </c>
      <c r="E55">
        <f>VLOOKUP(C55,Week4!$A$2:$B$67,2,FALSE)</f>
        <v>2</v>
      </c>
      <c r="F55">
        <f>VLOOKUP(C55,Week3!$A$2:$B$61,2,FALSE)</f>
        <v>2</v>
      </c>
      <c r="G55">
        <f>VLOOKUP(C55,Week2!$A$2:$B$54,2,FALSE)</f>
        <v>2</v>
      </c>
      <c r="H55">
        <f>VLOOKUP(C55,Week1!$A$2:$B$39,2,FALSE)</f>
        <v>1</v>
      </c>
      <c r="K55" t="s">
        <v>110</v>
      </c>
      <c r="L55">
        <v>2</v>
      </c>
      <c r="M55">
        <v>2</v>
      </c>
      <c r="N55">
        <v>2</v>
      </c>
      <c r="O55">
        <v>2</v>
      </c>
      <c r="P55">
        <v>1</v>
      </c>
      <c r="S55" t="s">
        <v>110</v>
      </c>
      <c r="T55">
        <f t="shared" si="2"/>
        <v>0</v>
      </c>
      <c r="U55">
        <f t="shared" si="3"/>
        <v>0</v>
      </c>
      <c r="V55">
        <f t="shared" si="4"/>
        <v>0</v>
      </c>
      <c r="W55">
        <f t="shared" si="5"/>
        <v>1</v>
      </c>
      <c r="X55">
        <f t="shared" si="6"/>
        <v>1</v>
      </c>
      <c r="Z55" s="5" t="e">
        <f t="shared" si="7"/>
        <v>#DIV/0!</v>
      </c>
      <c r="AA55" s="5" t="e">
        <f t="shared" si="8"/>
        <v>#DIV/0!</v>
      </c>
      <c r="AB55" s="5">
        <f t="shared" si="9"/>
        <v>-1</v>
      </c>
      <c r="AC55" s="5">
        <f t="shared" si="10"/>
        <v>0</v>
      </c>
      <c r="AE55" s="5">
        <v>0</v>
      </c>
      <c r="AF55" s="5">
        <v>0</v>
      </c>
      <c r="AG55" s="5">
        <v>-1</v>
      </c>
      <c r="AH55" s="5">
        <v>0</v>
      </c>
      <c r="AI55" t="s">
        <v>110</v>
      </c>
    </row>
    <row r="56" spans="1:35" x14ac:dyDescent="0.2">
      <c r="A56" s="1">
        <v>54</v>
      </c>
      <c r="B56" t="s">
        <v>111</v>
      </c>
      <c r="C56" t="s">
        <v>112</v>
      </c>
      <c r="D56">
        <v>2</v>
      </c>
      <c r="E56">
        <f>VLOOKUP(C56,Week4!$A$2:$B$67,2,FALSE)</f>
        <v>2</v>
      </c>
      <c r="F56" t="e">
        <f>VLOOKUP(C56,Week3!$A$2:$B$61,2,FALSE)</f>
        <v>#N/A</v>
      </c>
      <c r="G56" t="e">
        <f>VLOOKUP(C56,Week2!$A$2:$B$54,2,FALSE)</f>
        <v>#N/A</v>
      </c>
      <c r="H56" t="e">
        <f>VLOOKUP(C56,Week1!$A$2:$B$39,2,FALSE)</f>
        <v>#N/A</v>
      </c>
      <c r="K56" t="s">
        <v>112</v>
      </c>
      <c r="L56">
        <v>2</v>
      </c>
      <c r="M56">
        <v>2</v>
      </c>
      <c r="N56">
        <v>0</v>
      </c>
      <c r="O56">
        <v>0</v>
      </c>
      <c r="P56">
        <v>0</v>
      </c>
      <c r="S56" t="s">
        <v>112</v>
      </c>
      <c r="T56">
        <f t="shared" si="2"/>
        <v>0</v>
      </c>
      <c r="U56">
        <f t="shared" si="3"/>
        <v>2</v>
      </c>
      <c r="V56">
        <f t="shared" si="4"/>
        <v>0</v>
      </c>
      <c r="W56">
        <f t="shared" si="5"/>
        <v>0</v>
      </c>
      <c r="X56">
        <f t="shared" si="6"/>
        <v>0</v>
      </c>
      <c r="Z56" s="5">
        <f t="shared" si="7"/>
        <v>-1</v>
      </c>
      <c r="AA56" s="5" t="e">
        <f t="shared" si="8"/>
        <v>#DIV/0!</v>
      </c>
      <c r="AB56" s="5" t="e">
        <f t="shared" si="9"/>
        <v>#DIV/0!</v>
      </c>
      <c r="AC56" s="5" t="e">
        <f t="shared" si="10"/>
        <v>#DIV/0!</v>
      </c>
      <c r="AE56" s="5">
        <v>-1</v>
      </c>
      <c r="AF56" s="5">
        <v>0</v>
      </c>
      <c r="AG56" s="5">
        <v>0</v>
      </c>
      <c r="AH56" s="5">
        <v>0</v>
      </c>
      <c r="AI56" t="s">
        <v>112</v>
      </c>
    </row>
    <row r="57" spans="1:35" x14ac:dyDescent="0.2">
      <c r="A57" s="1">
        <v>55</v>
      </c>
      <c r="B57" t="s">
        <v>113</v>
      </c>
      <c r="C57" t="s">
        <v>114</v>
      </c>
      <c r="D57">
        <v>2</v>
      </c>
      <c r="E57">
        <f>VLOOKUP(C57,Week4!$A$2:$B$67,2,FALSE)</f>
        <v>2</v>
      </c>
      <c r="F57">
        <f>VLOOKUP(C57,Week3!$A$2:$B$61,2,FALSE)</f>
        <v>2</v>
      </c>
      <c r="G57">
        <f>VLOOKUP(C57,Week2!$A$2:$B$54,2,FALSE)</f>
        <v>2</v>
      </c>
      <c r="H57" t="e">
        <f>VLOOKUP(C57,Week1!$A$2:$B$39,2,FALSE)</f>
        <v>#N/A</v>
      </c>
      <c r="K57" t="s">
        <v>114</v>
      </c>
      <c r="L57">
        <v>2</v>
      </c>
      <c r="M57">
        <v>2</v>
      </c>
      <c r="N57">
        <v>2</v>
      </c>
      <c r="O57">
        <v>2</v>
      </c>
      <c r="P57">
        <v>0</v>
      </c>
      <c r="S57" t="s">
        <v>114</v>
      </c>
      <c r="T57">
        <f t="shared" si="2"/>
        <v>0</v>
      </c>
      <c r="U57">
        <f t="shared" si="3"/>
        <v>0</v>
      </c>
      <c r="V57">
        <f t="shared" si="4"/>
        <v>0</v>
      </c>
      <c r="W57">
        <f t="shared" si="5"/>
        <v>2</v>
      </c>
      <c r="X57">
        <f t="shared" si="6"/>
        <v>0</v>
      </c>
      <c r="Z57" s="5" t="e">
        <f t="shared" si="7"/>
        <v>#DIV/0!</v>
      </c>
      <c r="AA57" s="5" t="e">
        <f t="shared" si="8"/>
        <v>#DIV/0!</v>
      </c>
      <c r="AB57" s="5">
        <f t="shared" si="9"/>
        <v>-1</v>
      </c>
      <c r="AC57" s="5" t="e">
        <f t="shared" si="10"/>
        <v>#DIV/0!</v>
      </c>
      <c r="AE57" s="5">
        <v>0</v>
      </c>
      <c r="AF57" s="5">
        <v>0</v>
      </c>
      <c r="AG57" s="5">
        <v>-1</v>
      </c>
      <c r="AH57" s="5">
        <v>0</v>
      </c>
      <c r="AI57" t="s">
        <v>114</v>
      </c>
    </row>
    <row r="58" spans="1:35" x14ac:dyDescent="0.2">
      <c r="A58" s="1">
        <v>56</v>
      </c>
      <c r="B58" t="s">
        <v>115</v>
      </c>
      <c r="C58" t="s">
        <v>116</v>
      </c>
      <c r="D58">
        <v>2</v>
      </c>
      <c r="E58">
        <f>VLOOKUP(C58,Week4!$A$2:$B$67,2,FALSE)</f>
        <v>2</v>
      </c>
      <c r="F58">
        <f>VLOOKUP(C58,Week3!$A$2:$B$61,2,FALSE)</f>
        <v>1</v>
      </c>
      <c r="G58" t="e">
        <f>VLOOKUP(C58,Week2!$A$2:$B$54,2,FALSE)</f>
        <v>#N/A</v>
      </c>
      <c r="H58" t="e">
        <f>VLOOKUP(C58,Week1!$A$2:$B$39,2,FALSE)</f>
        <v>#N/A</v>
      </c>
      <c r="K58" t="s">
        <v>116</v>
      </c>
      <c r="L58">
        <v>2</v>
      </c>
      <c r="M58">
        <v>2</v>
      </c>
      <c r="N58">
        <v>1</v>
      </c>
      <c r="O58">
        <v>0</v>
      </c>
      <c r="P58">
        <v>0</v>
      </c>
      <c r="S58" t="s">
        <v>116</v>
      </c>
      <c r="T58">
        <f t="shared" si="2"/>
        <v>0</v>
      </c>
      <c r="U58">
        <f t="shared" si="3"/>
        <v>1</v>
      </c>
      <c r="V58">
        <f t="shared" si="4"/>
        <v>1</v>
      </c>
      <c r="W58">
        <f t="shared" si="5"/>
        <v>0</v>
      </c>
      <c r="X58">
        <f t="shared" si="6"/>
        <v>0</v>
      </c>
      <c r="Z58" s="5">
        <f t="shared" si="7"/>
        <v>-1</v>
      </c>
      <c r="AA58" s="5">
        <f t="shared" si="8"/>
        <v>0</v>
      </c>
      <c r="AB58" s="5" t="e">
        <f t="shared" si="9"/>
        <v>#DIV/0!</v>
      </c>
      <c r="AC58" s="5" t="e">
        <f t="shared" si="10"/>
        <v>#DIV/0!</v>
      </c>
      <c r="AE58" s="5">
        <v>-1</v>
      </c>
      <c r="AF58" s="5">
        <v>0</v>
      </c>
      <c r="AG58" s="5">
        <v>0</v>
      </c>
      <c r="AH58" s="5">
        <v>0</v>
      </c>
      <c r="AI58" t="s">
        <v>116</v>
      </c>
    </row>
    <row r="59" spans="1:35" x14ac:dyDescent="0.2">
      <c r="A59" s="1">
        <v>57</v>
      </c>
      <c r="B59" t="s">
        <v>117</v>
      </c>
      <c r="C59" t="s">
        <v>118</v>
      </c>
      <c r="D59">
        <v>2</v>
      </c>
      <c r="E59">
        <f>VLOOKUP(C59,Week4!$A$2:$B$67,2,FALSE)</f>
        <v>2</v>
      </c>
      <c r="F59">
        <f>VLOOKUP(C59,Week3!$A$2:$B$61,2,FALSE)</f>
        <v>2</v>
      </c>
      <c r="G59">
        <f>VLOOKUP(C59,Week2!$A$2:$B$54,2,FALSE)</f>
        <v>1</v>
      </c>
      <c r="H59">
        <f>VLOOKUP(C59,Week1!$A$2:$B$39,2,FALSE)</f>
        <v>1</v>
      </c>
      <c r="K59" t="s">
        <v>118</v>
      </c>
      <c r="L59">
        <v>2</v>
      </c>
      <c r="M59">
        <v>2</v>
      </c>
      <c r="N59">
        <v>2</v>
      </c>
      <c r="O59">
        <v>1</v>
      </c>
      <c r="P59">
        <v>1</v>
      </c>
      <c r="S59" t="s">
        <v>118</v>
      </c>
      <c r="T59">
        <f t="shared" si="2"/>
        <v>0</v>
      </c>
      <c r="U59">
        <f t="shared" si="3"/>
        <v>0</v>
      </c>
      <c r="V59">
        <f t="shared" si="4"/>
        <v>1</v>
      </c>
      <c r="W59">
        <f t="shared" si="5"/>
        <v>0</v>
      </c>
      <c r="X59">
        <f t="shared" si="6"/>
        <v>1</v>
      </c>
      <c r="Z59" s="5" t="e">
        <f t="shared" si="7"/>
        <v>#DIV/0!</v>
      </c>
      <c r="AA59" s="5">
        <f t="shared" si="8"/>
        <v>-1</v>
      </c>
      <c r="AB59" s="5" t="e">
        <f t="shared" si="9"/>
        <v>#DIV/0!</v>
      </c>
      <c r="AC59" s="5">
        <f t="shared" si="10"/>
        <v>-1</v>
      </c>
      <c r="AE59" s="5">
        <v>0</v>
      </c>
      <c r="AF59" s="5">
        <v>-1</v>
      </c>
      <c r="AG59" s="5">
        <v>0</v>
      </c>
      <c r="AH59" s="5">
        <v>-1</v>
      </c>
      <c r="AI59" t="s">
        <v>118</v>
      </c>
    </row>
    <row r="60" spans="1:35" x14ac:dyDescent="0.2">
      <c r="A60" s="1">
        <v>58</v>
      </c>
      <c r="B60" t="s">
        <v>119</v>
      </c>
      <c r="C60" t="s">
        <v>120</v>
      </c>
      <c r="D60">
        <v>2</v>
      </c>
      <c r="E60">
        <f>VLOOKUP(C60,Week4!$A$2:$B$67,2,FALSE)</f>
        <v>2</v>
      </c>
      <c r="F60">
        <f>VLOOKUP(C60,Week3!$A$2:$B$61,2,FALSE)</f>
        <v>2</v>
      </c>
      <c r="G60">
        <f>VLOOKUP(C60,Week2!$A$2:$B$54,2,FALSE)</f>
        <v>2</v>
      </c>
      <c r="H60" t="e">
        <f>VLOOKUP(C60,Week1!$A$2:$B$39,2,FALSE)</f>
        <v>#N/A</v>
      </c>
      <c r="K60" t="s">
        <v>120</v>
      </c>
      <c r="L60">
        <v>2</v>
      </c>
      <c r="M60">
        <v>2</v>
      </c>
      <c r="N60">
        <v>2</v>
      </c>
      <c r="O60">
        <v>2</v>
      </c>
      <c r="P60">
        <v>0</v>
      </c>
      <c r="S60" t="s">
        <v>120</v>
      </c>
      <c r="T60">
        <f t="shared" si="2"/>
        <v>0</v>
      </c>
      <c r="U60">
        <f t="shared" si="3"/>
        <v>0</v>
      </c>
      <c r="V60">
        <f t="shared" si="4"/>
        <v>0</v>
      </c>
      <c r="W60">
        <f t="shared" si="5"/>
        <v>2</v>
      </c>
      <c r="X60">
        <f t="shared" si="6"/>
        <v>0</v>
      </c>
      <c r="Z60" s="5" t="e">
        <f t="shared" si="7"/>
        <v>#DIV/0!</v>
      </c>
      <c r="AA60" s="5" t="e">
        <f t="shared" si="8"/>
        <v>#DIV/0!</v>
      </c>
      <c r="AB60" s="5">
        <f t="shared" si="9"/>
        <v>-1</v>
      </c>
      <c r="AC60" s="5" t="e">
        <f t="shared" si="10"/>
        <v>#DIV/0!</v>
      </c>
      <c r="AE60" s="5">
        <v>0</v>
      </c>
      <c r="AF60" s="5">
        <v>0</v>
      </c>
      <c r="AG60" s="5">
        <v>-1</v>
      </c>
      <c r="AH60" s="5">
        <v>0</v>
      </c>
      <c r="AI60" t="s">
        <v>120</v>
      </c>
    </row>
    <row r="61" spans="1:35" x14ac:dyDescent="0.2">
      <c r="A61" s="1">
        <v>59</v>
      </c>
      <c r="B61" t="s">
        <v>121</v>
      </c>
      <c r="C61" t="s">
        <v>122</v>
      </c>
      <c r="D61">
        <v>2</v>
      </c>
      <c r="E61">
        <f>VLOOKUP(C61,Week4!$A$2:$B$67,2,FALSE)</f>
        <v>2</v>
      </c>
      <c r="F61">
        <f>VLOOKUP(C61,Week3!$A$2:$B$61,2,FALSE)</f>
        <v>2</v>
      </c>
      <c r="G61" t="e">
        <f>VLOOKUP(C61,Week2!$A$2:$B$54,2,FALSE)</f>
        <v>#N/A</v>
      </c>
      <c r="H61" t="e">
        <f>VLOOKUP(C61,Week1!$A$2:$B$39,2,FALSE)</f>
        <v>#N/A</v>
      </c>
      <c r="K61" t="s">
        <v>122</v>
      </c>
      <c r="L61">
        <v>2</v>
      </c>
      <c r="M61">
        <v>2</v>
      </c>
      <c r="N61">
        <v>2</v>
      </c>
      <c r="O61">
        <v>0</v>
      </c>
      <c r="P61">
        <v>0</v>
      </c>
      <c r="S61" t="s">
        <v>122</v>
      </c>
      <c r="T61">
        <f t="shared" si="2"/>
        <v>0</v>
      </c>
      <c r="U61">
        <f t="shared" si="3"/>
        <v>0</v>
      </c>
      <c r="V61">
        <f t="shared" si="4"/>
        <v>2</v>
      </c>
      <c r="W61">
        <f t="shared" si="5"/>
        <v>0</v>
      </c>
      <c r="X61">
        <f t="shared" si="6"/>
        <v>0</v>
      </c>
      <c r="Z61" s="5" t="e">
        <f t="shared" si="7"/>
        <v>#DIV/0!</v>
      </c>
      <c r="AA61" s="5">
        <f t="shared" si="8"/>
        <v>-1</v>
      </c>
      <c r="AB61" s="5" t="e">
        <f t="shared" si="9"/>
        <v>#DIV/0!</v>
      </c>
      <c r="AC61" s="5" t="e">
        <f t="shared" si="10"/>
        <v>#DIV/0!</v>
      </c>
      <c r="AE61" s="5">
        <v>0</v>
      </c>
      <c r="AF61" s="5">
        <v>-1</v>
      </c>
      <c r="AG61" s="5">
        <v>0</v>
      </c>
      <c r="AH61" s="5">
        <v>0</v>
      </c>
      <c r="AI61" t="s">
        <v>122</v>
      </c>
    </row>
    <row r="62" spans="1:35" x14ac:dyDescent="0.2">
      <c r="A62" s="1">
        <v>60</v>
      </c>
      <c r="B62" t="s">
        <v>123</v>
      </c>
      <c r="C62" t="s">
        <v>124</v>
      </c>
      <c r="D62">
        <v>1</v>
      </c>
      <c r="E62">
        <f>VLOOKUP(C62,Week4!$A$2:$B$67,2,FALSE)</f>
        <v>1</v>
      </c>
      <c r="F62" t="e">
        <f>VLOOKUP(C62,Week3!$A$2:$B$61,2,FALSE)</f>
        <v>#N/A</v>
      </c>
      <c r="G62" t="e">
        <f>VLOOKUP(C62,Week2!$A$2:$B$54,2,FALSE)</f>
        <v>#N/A</v>
      </c>
      <c r="H62" t="e">
        <f>VLOOKUP(C62,Week1!$A$2:$B$39,2,FALSE)</f>
        <v>#N/A</v>
      </c>
      <c r="K62" t="s">
        <v>124</v>
      </c>
      <c r="L62">
        <v>1</v>
      </c>
      <c r="M62">
        <v>1</v>
      </c>
      <c r="N62">
        <v>0</v>
      </c>
      <c r="O62">
        <v>0</v>
      </c>
      <c r="P62">
        <v>0</v>
      </c>
      <c r="S62" t="s">
        <v>124</v>
      </c>
      <c r="T62">
        <f t="shared" si="2"/>
        <v>0</v>
      </c>
      <c r="U62">
        <f t="shared" si="3"/>
        <v>1</v>
      </c>
      <c r="V62">
        <f t="shared" si="4"/>
        <v>0</v>
      </c>
      <c r="W62">
        <f t="shared" si="5"/>
        <v>0</v>
      </c>
      <c r="X62">
        <f t="shared" si="6"/>
        <v>0</v>
      </c>
      <c r="Z62" s="5">
        <f t="shared" si="7"/>
        <v>-1</v>
      </c>
      <c r="AA62" s="5" t="e">
        <f t="shared" si="8"/>
        <v>#DIV/0!</v>
      </c>
      <c r="AB62" s="5" t="e">
        <f t="shared" si="9"/>
        <v>#DIV/0!</v>
      </c>
      <c r="AC62" s="5" t="e">
        <f t="shared" si="10"/>
        <v>#DIV/0!</v>
      </c>
      <c r="AE62" s="5">
        <v>-1</v>
      </c>
      <c r="AF62" s="5">
        <v>0</v>
      </c>
      <c r="AG62" s="5">
        <v>0</v>
      </c>
      <c r="AH62" s="5">
        <v>0</v>
      </c>
      <c r="AI62" t="s">
        <v>124</v>
      </c>
    </row>
    <row r="63" spans="1:35" x14ac:dyDescent="0.2">
      <c r="A63" s="1">
        <v>61</v>
      </c>
      <c r="B63" t="s">
        <v>125</v>
      </c>
      <c r="C63" t="s">
        <v>126</v>
      </c>
      <c r="D63">
        <v>1</v>
      </c>
      <c r="E63">
        <f>VLOOKUP(C63,Week4!$A$2:$B$67,2,FALSE)</f>
        <v>1</v>
      </c>
      <c r="F63">
        <f>VLOOKUP(C63,Week3!$A$2:$B$61,2,FALSE)</f>
        <v>1</v>
      </c>
      <c r="G63">
        <f>VLOOKUP(C63,Week2!$A$2:$B$54,2,FALSE)</f>
        <v>1</v>
      </c>
      <c r="H63" t="e">
        <f>VLOOKUP(C63,Week1!$A$2:$B$39,2,FALSE)</f>
        <v>#N/A</v>
      </c>
      <c r="K63" t="s">
        <v>126</v>
      </c>
      <c r="L63">
        <v>1</v>
      </c>
      <c r="M63">
        <v>1</v>
      </c>
      <c r="N63">
        <v>1</v>
      </c>
      <c r="O63">
        <v>1</v>
      </c>
      <c r="P63">
        <v>0</v>
      </c>
      <c r="S63" t="s">
        <v>126</v>
      </c>
      <c r="T63">
        <f t="shared" si="2"/>
        <v>0</v>
      </c>
      <c r="U63">
        <f t="shared" si="3"/>
        <v>0</v>
      </c>
      <c r="V63">
        <f t="shared" si="4"/>
        <v>0</v>
      </c>
      <c r="W63">
        <f t="shared" si="5"/>
        <v>1</v>
      </c>
      <c r="X63">
        <f t="shared" si="6"/>
        <v>0</v>
      </c>
      <c r="Z63" s="5" t="e">
        <f t="shared" si="7"/>
        <v>#DIV/0!</v>
      </c>
      <c r="AA63" s="5" t="e">
        <f t="shared" si="8"/>
        <v>#DIV/0!</v>
      </c>
      <c r="AB63" s="5">
        <f t="shared" si="9"/>
        <v>-1</v>
      </c>
      <c r="AC63" s="5" t="e">
        <f t="shared" si="10"/>
        <v>#DIV/0!</v>
      </c>
      <c r="AE63" s="5">
        <v>0</v>
      </c>
      <c r="AF63" s="5">
        <v>0</v>
      </c>
      <c r="AG63" s="5">
        <v>-1</v>
      </c>
      <c r="AH63" s="5">
        <v>0</v>
      </c>
      <c r="AI63" t="s">
        <v>126</v>
      </c>
    </row>
    <row r="64" spans="1:35" x14ac:dyDescent="0.2">
      <c r="A64" s="1">
        <v>62</v>
      </c>
      <c r="B64" t="s">
        <v>127</v>
      </c>
      <c r="C64" t="s">
        <v>128</v>
      </c>
      <c r="D64">
        <v>1</v>
      </c>
      <c r="E64" t="e">
        <f>VLOOKUP(C64,Week4!$A$2:$B$67,2,FALSE)</f>
        <v>#N/A</v>
      </c>
      <c r="F64" t="e">
        <f>VLOOKUP(C64,Week3!$A$2:$B$61,2,FALSE)</f>
        <v>#N/A</v>
      </c>
      <c r="G64" t="e">
        <f>VLOOKUP(C64,Week2!$A$2:$B$54,2,FALSE)</f>
        <v>#N/A</v>
      </c>
      <c r="H64" t="e">
        <f>VLOOKUP(C64,Week1!$A$2:$B$39,2,FALSE)</f>
        <v>#N/A</v>
      </c>
      <c r="K64" t="s">
        <v>128</v>
      </c>
      <c r="L64">
        <v>1</v>
      </c>
      <c r="M64">
        <v>0</v>
      </c>
      <c r="N64">
        <v>0</v>
      </c>
      <c r="O64">
        <v>0</v>
      </c>
      <c r="P64">
        <v>0</v>
      </c>
      <c r="S64" t="s">
        <v>128</v>
      </c>
      <c r="T64">
        <f t="shared" si="2"/>
        <v>1</v>
      </c>
      <c r="U64">
        <f t="shared" si="3"/>
        <v>0</v>
      </c>
      <c r="V64">
        <f t="shared" si="4"/>
        <v>0</v>
      </c>
      <c r="W64">
        <f t="shared" si="5"/>
        <v>0</v>
      </c>
      <c r="X64">
        <f t="shared" si="6"/>
        <v>0</v>
      </c>
      <c r="Z64" s="5" t="e">
        <f t="shared" si="7"/>
        <v>#DIV/0!</v>
      </c>
      <c r="AA64" s="5" t="e">
        <f t="shared" si="8"/>
        <v>#DIV/0!</v>
      </c>
      <c r="AB64" s="5" t="e">
        <f t="shared" si="9"/>
        <v>#DIV/0!</v>
      </c>
      <c r="AC64" s="5" t="e">
        <f t="shared" si="10"/>
        <v>#DIV/0!</v>
      </c>
      <c r="AE64" s="5">
        <v>0</v>
      </c>
      <c r="AF64" s="5">
        <v>0</v>
      </c>
      <c r="AG64" s="5">
        <v>0</v>
      </c>
      <c r="AH64" s="5">
        <v>0</v>
      </c>
      <c r="AI64" t="s">
        <v>128</v>
      </c>
    </row>
    <row r="65" spans="1:35" x14ac:dyDescent="0.2">
      <c r="A65" s="1">
        <v>63</v>
      </c>
      <c r="B65" t="s">
        <v>129</v>
      </c>
      <c r="C65" t="s">
        <v>130</v>
      </c>
      <c r="D65">
        <v>1</v>
      </c>
      <c r="E65">
        <f>VLOOKUP(C65,Week4!$A$2:$B$67,2,FALSE)</f>
        <v>1</v>
      </c>
      <c r="F65">
        <f>VLOOKUP(C65,Week3!$A$2:$B$61,2,FALSE)</f>
        <v>1</v>
      </c>
      <c r="G65">
        <f>VLOOKUP(C65,Week2!$A$2:$B$54,2,FALSE)</f>
        <v>1</v>
      </c>
      <c r="H65" t="e">
        <f>VLOOKUP(C65,Week1!$A$2:$B$39,2,FALSE)</f>
        <v>#N/A</v>
      </c>
      <c r="K65" t="s">
        <v>130</v>
      </c>
      <c r="L65">
        <v>1</v>
      </c>
      <c r="M65">
        <v>1</v>
      </c>
      <c r="N65">
        <v>1</v>
      </c>
      <c r="O65">
        <v>1</v>
      </c>
      <c r="P65">
        <v>0</v>
      </c>
      <c r="S65" t="s">
        <v>130</v>
      </c>
      <c r="T65">
        <f t="shared" si="2"/>
        <v>0</v>
      </c>
      <c r="U65">
        <f t="shared" si="3"/>
        <v>0</v>
      </c>
      <c r="V65">
        <f t="shared" si="4"/>
        <v>0</v>
      </c>
      <c r="W65">
        <f t="shared" si="5"/>
        <v>1</v>
      </c>
      <c r="X65">
        <f t="shared" si="6"/>
        <v>0</v>
      </c>
      <c r="Z65" s="5" t="e">
        <f t="shared" si="7"/>
        <v>#DIV/0!</v>
      </c>
      <c r="AA65" s="5" t="e">
        <f t="shared" si="8"/>
        <v>#DIV/0!</v>
      </c>
      <c r="AB65" s="5">
        <f t="shared" si="9"/>
        <v>-1</v>
      </c>
      <c r="AC65" s="5" t="e">
        <f t="shared" si="10"/>
        <v>#DIV/0!</v>
      </c>
      <c r="AE65" s="5">
        <v>0</v>
      </c>
      <c r="AF65" s="5">
        <v>0</v>
      </c>
      <c r="AG65" s="5">
        <v>-1</v>
      </c>
      <c r="AH65" s="5">
        <v>0</v>
      </c>
      <c r="AI65" t="s">
        <v>130</v>
      </c>
    </row>
    <row r="66" spans="1:35" x14ac:dyDescent="0.2">
      <c r="A66" s="1">
        <v>64</v>
      </c>
      <c r="B66" t="s">
        <v>131</v>
      </c>
      <c r="C66" t="s">
        <v>132</v>
      </c>
      <c r="D66">
        <v>1</v>
      </c>
      <c r="E66" t="e">
        <f>VLOOKUP(C66,Week4!$A$2:$B$67,2,FALSE)</f>
        <v>#N/A</v>
      </c>
      <c r="F66" t="e">
        <f>VLOOKUP(C66,Week3!$A$2:$B$61,2,FALSE)</f>
        <v>#N/A</v>
      </c>
      <c r="G66" t="e">
        <f>VLOOKUP(C66,Week2!$A$2:$B$54,2,FALSE)</f>
        <v>#N/A</v>
      </c>
      <c r="H66" t="e">
        <f>VLOOKUP(C66,Week1!$A$2:$B$39,2,FALSE)</f>
        <v>#N/A</v>
      </c>
      <c r="K66" t="s">
        <v>132</v>
      </c>
      <c r="L66">
        <v>1</v>
      </c>
      <c r="M66">
        <v>0</v>
      </c>
      <c r="N66">
        <v>0</v>
      </c>
      <c r="O66">
        <v>0</v>
      </c>
      <c r="P66">
        <v>0</v>
      </c>
      <c r="S66" t="s">
        <v>132</v>
      </c>
      <c r="T66">
        <f t="shared" si="2"/>
        <v>1</v>
      </c>
      <c r="U66">
        <f t="shared" si="3"/>
        <v>0</v>
      </c>
      <c r="V66">
        <f t="shared" si="4"/>
        <v>0</v>
      </c>
      <c r="W66">
        <f t="shared" si="5"/>
        <v>0</v>
      </c>
      <c r="X66">
        <f t="shared" si="6"/>
        <v>0</v>
      </c>
      <c r="Z66" s="5" t="e">
        <f t="shared" si="7"/>
        <v>#DIV/0!</v>
      </c>
      <c r="AA66" s="5" t="e">
        <f t="shared" si="8"/>
        <v>#DIV/0!</v>
      </c>
      <c r="AB66" s="5" t="e">
        <f t="shared" si="9"/>
        <v>#DIV/0!</v>
      </c>
      <c r="AC66" s="5" t="e">
        <f t="shared" si="10"/>
        <v>#DIV/0!</v>
      </c>
      <c r="AE66" s="5">
        <v>0</v>
      </c>
      <c r="AF66" s="5">
        <v>0</v>
      </c>
      <c r="AG66" s="5">
        <v>0</v>
      </c>
      <c r="AH66" s="5">
        <v>0</v>
      </c>
      <c r="AI66" t="s">
        <v>132</v>
      </c>
    </row>
    <row r="67" spans="1:35" x14ac:dyDescent="0.2">
      <c r="A67" s="1">
        <v>65</v>
      </c>
      <c r="B67" t="s">
        <v>133</v>
      </c>
      <c r="C67" t="s">
        <v>134</v>
      </c>
      <c r="D67">
        <v>1</v>
      </c>
      <c r="E67">
        <f>VLOOKUP(C67,Week4!$A$2:$B$67,2,FALSE)</f>
        <v>1</v>
      </c>
      <c r="F67">
        <f>VLOOKUP(C67,Week3!$A$2:$B$61,2,FALSE)</f>
        <v>1</v>
      </c>
      <c r="G67" t="e">
        <f>VLOOKUP(C67,Week2!$A$2:$B$54,2,FALSE)</f>
        <v>#N/A</v>
      </c>
      <c r="H67" t="e">
        <f>VLOOKUP(C67,Week1!$A$2:$B$39,2,FALSE)</f>
        <v>#N/A</v>
      </c>
      <c r="K67" t="s">
        <v>134</v>
      </c>
      <c r="L67">
        <v>1</v>
      </c>
      <c r="M67">
        <v>1</v>
      </c>
      <c r="N67">
        <v>1</v>
      </c>
      <c r="O67">
        <v>0</v>
      </c>
      <c r="P67">
        <v>0</v>
      </c>
      <c r="S67" t="s">
        <v>134</v>
      </c>
      <c r="T67">
        <f t="shared" ref="T67:T69" si="11">L67-M67</f>
        <v>0</v>
      </c>
      <c r="U67">
        <f t="shared" ref="U67:U69" si="12">M67-N67</f>
        <v>0</v>
      </c>
      <c r="V67">
        <f t="shared" ref="V67:V69" si="13">N67-O67</f>
        <v>1</v>
      </c>
      <c r="W67">
        <f t="shared" ref="W67:W69" si="14">O67-P67</f>
        <v>0</v>
      </c>
      <c r="X67">
        <f t="shared" ref="X67:X69" si="15">P67-Q67</f>
        <v>0</v>
      </c>
      <c r="Z67" s="5" t="e">
        <f t="shared" ref="Z67:Z69" si="16">(T67-U67)/U67</f>
        <v>#DIV/0!</v>
      </c>
      <c r="AA67" s="5">
        <f t="shared" ref="AA67:AA69" si="17">(U67-V67)/V67</f>
        <v>-1</v>
      </c>
      <c r="AB67" s="5" t="e">
        <f t="shared" ref="AB67:AB69" si="18">(V67-W67)/W67</f>
        <v>#DIV/0!</v>
      </c>
      <c r="AC67" s="5" t="e">
        <f t="shared" ref="AC67:AC69" si="19">(W67-X67)/X67</f>
        <v>#DIV/0!</v>
      </c>
      <c r="AE67" s="5">
        <v>0</v>
      </c>
      <c r="AF67" s="5">
        <v>-1</v>
      </c>
      <c r="AG67" s="5">
        <v>0</v>
      </c>
      <c r="AH67" s="5">
        <v>0</v>
      </c>
      <c r="AI67" t="s">
        <v>134</v>
      </c>
    </row>
    <row r="68" spans="1:35" x14ac:dyDescent="0.2">
      <c r="A68" s="1">
        <v>66</v>
      </c>
      <c r="B68" t="s">
        <v>135</v>
      </c>
      <c r="C68" t="s">
        <v>136</v>
      </c>
      <c r="D68">
        <v>1</v>
      </c>
      <c r="E68">
        <f>VLOOKUP(C68,Week4!$A$2:$B$67,2,FALSE)</f>
        <v>1</v>
      </c>
      <c r="F68" t="e">
        <f>VLOOKUP(C68,Week3!$A$2:$B$61,2,FALSE)</f>
        <v>#N/A</v>
      </c>
      <c r="G68" t="e">
        <f>VLOOKUP(C68,Week2!$A$2:$B$54,2,FALSE)</f>
        <v>#N/A</v>
      </c>
      <c r="H68" t="e">
        <f>VLOOKUP(C68,Week1!$A$2:$B$39,2,FALSE)</f>
        <v>#N/A</v>
      </c>
      <c r="K68" t="s">
        <v>136</v>
      </c>
      <c r="L68">
        <v>1</v>
      </c>
      <c r="M68">
        <v>1</v>
      </c>
      <c r="N68">
        <v>0</v>
      </c>
      <c r="O68">
        <v>0</v>
      </c>
      <c r="P68">
        <v>0</v>
      </c>
      <c r="S68" t="s">
        <v>136</v>
      </c>
      <c r="T68">
        <f t="shared" si="11"/>
        <v>0</v>
      </c>
      <c r="U68">
        <f t="shared" si="12"/>
        <v>1</v>
      </c>
      <c r="V68">
        <f t="shared" si="13"/>
        <v>0</v>
      </c>
      <c r="W68">
        <f t="shared" si="14"/>
        <v>0</v>
      </c>
      <c r="X68">
        <f t="shared" si="15"/>
        <v>0</v>
      </c>
      <c r="Z68" s="5">
        <f t="shared" si="16"/>
        <v>-1</v>
      </c>
      <c r="AA68" s="5" t="e">
        <f t="shared" si="17"/>
        <v>#DIV/0!</v>
      </c>
      <c r="AB68" s="5" t="e">
        <f t="shared" si="18"/>
        <v>#DIV/0!</v>
      </c>
      <c r="AC68" s="5" t="e">
        <f t="shared" si="19"/>
        <v>#DIV/0!</v>
      </c>
      <c r="AE68" s="5">
        <v>-1</v>
      </c>
      <c r="AF68" s="5">
        <v>0</v>
      </c>
      <c r="AG68" s="5">
        <v>0</v>
      </c>
      <c r="AH68" s="5">
        <v>0</v>
      </c>
      <c r="AI68" t="s">
        <v>136</v>
      </c>
    </row>
    <row r="69" spans="1:35" x14ac:dyDescent="0.2">
      <c r="A69" s="1">
        <v>67</v>
      </c>
      <c r="B69" t="s">
        <v>137</v>
      </c>
      <c r="C69" t="s">
        <v>138</v>
      </c>
      <c r="D69">
        <v>1</v>
      </c>
      <c r="E69">
        <f>VLOOKUP(C69,Week4!$A$2:$B$67,2,FALSE)</f>
        <v>1</v>
      </c>
      <c r="F69" t="e">
        <f>VLOOKUP(C69,Week3!$A$2:$B$61,2,FALSE)</f>
        <v>#N/A</v>
      </c>
      <c r="G69" t="e">
        <f>VLOOKUP(C69,Week2!$A$2:$B$54,2,FALSE)</f>
        <v>#N/A</v>
      </c>
      <c r="H69" t="e">
        <f>VLOOKUP(C69,Week1!$A$2:$B$39,2,FALSE)</f>
        <v>#N/A</v>
      </c>
      <c r="K69" t="s">
        <v>138</v>
      </c>
      <c r="L69">
        <v>1</v>
      </c>
      <c r="M69">
        <v>1</v>
      </c>
      <c r="N69">
        <v>0</v>
      </c>
      <c r="O69">
        <v>0</v>
      </c>
      <c r="P69">
        <v>0</v>
      </c>
      <c r="S69" t="s">
        <v>138</v>
      </c>
      <c r="T69">
        <f t="shared" si="11"/>
        <v>0</v>
      </c>
      <c r="U69">
        <f t="shared" si="12"/>
        <v>1</v>
      </c>
      <c r="V69">
        <f t="shared" si="13"/>
        <v>0</v>
      </c>
      <c r="W69">
        <f t="shared" si="14"/>
        <v>0</v>
      </c>
      <c r="X69">
        <f t="shared" si="15"/>
        <v>0</v>
      </c>
      <c r="Z69" s="5">
        <f t="shared" si="16"/>
        <v>-1</v>
      </c>
      <c r="AA69" s="5" t="e">
        <f t="shared" si="17"/>
        <v>#DIV/0!</v>
      </c>
      <c r="AB69" s="5" t="e">
        <f t="shared" si="18"/>
        <v>#DIV/0!</v>
      </c>
      <c r="AC69" s="5" t="e">
        <f t="shared" si="19"/>
        <v>#DIV/0!</v>
      </c>
      <c r="AE69" s="5">
        <v>-1</v>
      </c>
      <c r="AF69" s="5">
        <v>0</v>
      </c>
      <c r="AG69" s="5">
        <v>0</v>
      </c>
      <c r="AH69" s="5">
        <v>0</v>
      </c>
      <c r="AI69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488F-CFD2-4D4D-9FEE-95250E54300F}">
  <dimension ref="A1:B67"/>
  <sheetViews>
    <sheetView topLeftCell="A26" workbookViewId="0">
      <selection activeCell="D12" sqref="D12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439</v>
      </c>
    </row>
    <row r="3" spans="1:2" x14ac:dyDescent="0.2">
      <c r="A3" t="s">
        <v>8</v>
      </c>
      <c r="B3">
        <v>270</v>
      </c>
    </row>
    <row r="4" spans="1:2" x14ac:dyDescent="0.2">
      <c r="A4" t="s">
        <v>6</v>
      </c>
      <c r="B4">
        <v>243</v>
      </c>
    </row>
    <row r="5" spans="1:2" x14ac:dyDescent="0.2">
      <c r="A5" t="s">
        <v>12</v>
      </c>
      <c r="B5">
        <v>192</v>
      </c>
    </row>
    <row r="6" spans="1:2" x14ac:dyDescent="0.2">
      <c r="A6" t="s">
        <v>10</v>
      </c>
      <c r="B6">
        <v>184</v>
      </c>
    </row>
    <row r="7" spans="1:2" x14ac:dyDescent="0.2">
      <c r="A7" t="s">
        <v>14</v>
      </c>
      <c r="B7">
        <v>153</v>
      </c>
    </row>
    <row r="8" spans="1:2" x14ac:dyDescent="0.2">
      <c r="A8" t="s">
        <v>16</v>
      </c>
      <c r="B8">
        <v>53</v>
      </c>
    </row>
    <row r="9" spans="1:2" x14ac:dyDescent="0.2">
      <c r="A9" t="s">
        <v>18</v>
      </c>
      <c r="B9">
        <v>53</v>
      </c>
    </row>
    <row r="10" spans="1:2" x14ac:dyDescent="0.2">
      <c r="A10" t="s">
        <v>24</v>
      </c>
      <c r="B10">
        <v>51</v>
      </c>
    </row>
    <row r="11" spans="1:2" x14ac:dyDescent="0.2">
      <c r="A11" t="s">
        <v>20</v>
      </c>
      <c r="B11">
        <v>49</v>
      </c>
    </row>
    <row r="12" spans="1:2" x14ac:dyDescent="0.2">
      <c r="A12" t="s">
        <v>22</v>
      </c>
      <c r="B12">
        <v>45</v>
      </c>
    </row>
    <row r="13" spans="1:2" x14ac:dyDescent="0.2">
      <c r="A13" t="s">
        <v>28</v>
      </c>
      <c r="B13">
        <v>33</v>
      </c>
    </row>
    <row r="14" spans="1:2" x14ac:dyDescent="0.2">
      <c r="A14" t="s">
        <v>26</v>
      </c>
      <c r="B14">
        <v>29</v>
      </c>
    </row>
    <row r="15" spans="1:2" x14ac:dyDescent="0.2">
      <c r="A15" t="s">
        <v>30</v>
      </c>
      <c r="B15">
        <v>26</v>
      </c>
    </row>
    <row r="16" spans="1:2" x14ac:dyDescent="0.2">
      <c r="A16" t="s">
        <v>32</v>
      </c>
      <c r="B16">
        <v>22</v>
      </c>
    </row>
    <row r="17" spans="1:2" x14ac:dyDescent="0.2">
      <c r="A17" t="s">
        <v>40</v>
      </c>
      <c r="B17">
        <v>21</v>
      </c>
    </row>
    <row r="18" spans="1:2" x14ac:dyDescent="0.2">
      <c r="A18" t="s">
        <v>38</v>
      </c>
      <c r="B18">
        <v>18</v>
      </c>
    </row>
    <row r="19" spans="1:2" x14ac:dyDescent="0.2">
      <c r="A19" t="s">
        <v>36</v>
      </c>
      <c r="B19">
        <v>18</v>
      </c>
    </row>
    <row r="20" spans="1:2" x14ac:dyDescent="0.2">
      <c r="A20" t="s">
        <v>34</v>
      </c>
      <c r="B20">
        <v>17</v>
      </c>
    </row>
    <row r="21" spans="1:2" x14ac:dyDescent="0.2">
      <c r="A21" t="s">
        <v>44</v>
      </c>
      <c r="B21">
        <v>17</v>
      </c>
    </row>
    <row r="22" spans="1:2" x14ac:dyDescent="0.2">
      <c r="A22" t="s">
        <v>42</v>
      </c>
      <c r="B22">
        <v>15</v>
      </c>
    </row>
    <row r="23" spans="1:2" x14ac:dyDescent="0.2">
      <c r="A23" t="s">
        <v>46</v>
      </c>
      <c r="B23">
        <v>13</v>
      </c>
    </row>
    <row r="24" spans="1:2" x14ac:dyDescent="0.2">
      <c r="A24" t="s">
        <v>48</v>
      </c>
      <c r="B24">
        <v>12</v>
      </c>
    </row>
    <row r="25" spans="1:2" x14ac:dyDescent="0.2">
      <c r="A25" t="s">
        <v>50</v>
      </c>
      <c r="B25">
        <v>11</v>
      </c>
    </row>
    <row r="26" spans="1:2" x14ac:dyDescent="0.2">
      <c r="A26" t="s">
        <v>56</v>
      </c>
      <c r="B26">
        <v>9</v>
      </c>
    </row>
    <row r="27" spans="1:2" x14ac:dyDescent="0.2">
      <c r="A27" t="s">
        <v>52</v>
      </c>
      <c r="B27">
        <v>8</v>
      </c>
    </row>
    <row r="28" spans="1:2" x14ac:dyDescent="0.2">
      <c r="A28" t="s">
        <v>54</v>
      </c>
      <c r="B28">
        <v>8</v>
      </c>
    </row>
    <row r="29" spans="1:2" x14ac:dyDescent="0.2">
      <c r="A29" t="s">
        <v>58</v>
      </c>
      <c r="B29">
        <v>8</v>
      </c>
    </row>
    <row r="30" spans="1:2" x14ac:dyDescent="0.2">
      <c r="A30" t="s">
        <v>60</v>
      </c>
      <c r="B30">
        <v>8</v>
      </c>
    </row>
    <row r="31" spans="1:2" x14ac:dyDescent="0.2">
      <c r="A31" t="s">
        <v>62</v>
      </c>
      <c r="B31">
        <v>7</v>
      </c>
    </row>
    <row r="32" spans="1:2" x14ac:dyDescent="0.2">
      <c r="A32" t="s">
        <v>70</v>
      </c>
      <c r="B32">
        <v>6</v>
      </c>
    </row>
    <row r="33" spans="1:2" x14ac:dyDescent="0.2">
      <c r="A33" t="s">
        <v>68</v>
      </c>
      <c r="B33">
        <v>6</v>
      </c>
    </row>
    <row r="34" spans="1:2" x14ac:dyDescent="0.2">
      <c r="A34" t="s">
        <v>78</v>
      </c>
      <c r="B34">
        <v>5</v>
      </c>
    </row>
    <row r="35" spans="1:2" x14ac:dyDescent="0.2">
      <c r="A35" t="s">
        <v>72</v>
      </c>
      <c r="B35">
        <v>4</v>
      </c>
    </row>
    <row r="36" spans="1:2" x14ac:dyDescent="0.2">
      <c r="A36" t="s">
        <v>64</v>
      </c>
      <c r="B36">
        <v>4</v>
      </c>
    </row>
    <row r="37" spans="1:2" x14ac:dyDescent="0.2">
      <c r="A37" t="s">
        <v>80</v>
      </c>
      <c r="B37">
        <v>4</v>
      </c>
    </row>
    <row r="38" spans="1:2" x14ac:dyDescent="0.2">
      <c r="A38" t="s">
        <v>92</v>
      </c>
      <c r="B38">
        <v>3</v>
      </c>
    </row>
    <row r="39" spans="1:2" x14ac:dyDescent="0.2">
      <c r="A39" t="s">
        <v>74</v>
      </c>
      <c r="B39">
        <v>3</v>
      </c>
    </row>
    <row r="40" spans="1:2" x14ac:dyDescent="0.2">
      <c r="A40" t="s">
        <v>76</v>
      </c>
      <c r="B40">
        <v>3</v>
      </c>
    </row>
    <row r="41" spans="1:2" x14ac:dyDescent="0.2">
      <c r="A41" t="s">
        <v>84</v>
      </c>
      <c r="B41">
        <v>3</v>
      </c>
    </row>
    <row r="42" spans="1:2" x14ac:dyDescent="0.2">
      <c r="A42" t="s">
        <v>66</v>
      </c>
      <c r="B42">
        <v>3</v>
      </c>
    </row>
    <row r="43" spans="1:2" x14ac:dyDescent="0.2">
      <c r="A43" t="s">
        <v>82</v>
      </c>
      <c r="B43">
        <v>3</v>
      </c>
    </row>
    <row r="44" spans="1:2" x14ac:dyDescent="0.2">
      <c r="A44" t="s">
        <v>94</v>
      </c>
      <c r="B44">
        <v>3</v>
      </c>
    </row>
    <row r="45" spans="1:2" x14ac:dyDescent="0.2">
      <c r="A45" t="s">
        <v>98</v>
      </c>
      <c r="B45">
        <v>2</v>
      </c>
    </row>
    <row r="46" spans="1:2" x14ac:dyDescent="0.2">
      <c r="A46" t="s">
        <v>90</v>
      </c>
      <c r="B46">
        <v>2</v>
      </c>
    </row>
    <row r="47" spans="1:2" x14ac:dyDescent="0.2">
      <c r="A47" t="s">
        <v>96</v>
      </c>
      <c r="B47">
        <v>2</v>
      </c>
    </row>
    <row r="48" spans="1:2" x14ac:dyDescent="0.2">
      <c r="A48" t="s">
        <v>86</v>
      </c>
      <c r="B48">
        <v>2</v>
      </c>
    </row>
    <row r="49" spans="1:2" x14ac:dyDescent="0.2">
      <c r="A49" t="s">
        <v>100</v>
      </c>
      <c r="B49">
        <v>2</v>
      </c>
    </row>
    <row r="50" spans="1:2" x14ac:dyDescent="0.2">
      <c r="A50" t="s">
        <v>122</v>
      </c>
      <c r="B50">
        <v>2</v>
      </c>
    </row>
    <row r="51" spans="1:2" x14ac:dyDescent="0.2">
      <c r="A51" t="s">
        <v>108</v>
      </c>
      <c r="B51">
        <v>2</v>
      </c>
    </row>
    <row r="52" spans="1:2" x14ac:dyDescent="0.2">
      <c r="A52" t="s">
        <v>110</v>
      </c>
      <c r="B52">
        <v>2</v>
      </c>
    </row>
    <row r="53" spans="1:2" x14ac:dyDescent="0.2">
      <c r="A53" t="s">
        <v>114</v>
      </c>
      <c r="B53">
        <v>2</v>
      </c>
    </row>
    <row r="54" spans="1:2" x14ac:dyDescent="0.2">
      <c r="A54" t="s">
        <v>118</v>
      </c>
      <c r="B54">
        <v>2</v>
      </c>
    </row>
    <row r="55" spans="1:2" x14ac:dyDescent="0.2">
      <c r="A55" t="s">
        <v>112</v>
      </c>
      <c r="B55">
        <v>2</v>
      </c>
    </row>
    <row r="56" spans="1:2" x14ac:dyDescent="0.2">
      <c r="A56" t="s">
        <v>116</v>
      </c>
      <c r="B56">
        <v>2</v>
      </c>
    </row>
    <row r="57" spans="1:2" x14ac:dyDescent="0.2">
      <c r="A57" t="s">
        <v>102</v>
      </c>
      <c r="B57">
        <v>2</v>
      </c>
    </row>
    <row r="58" spans="1:2" x14ac:dyDescent="0.2">
      <c r="A58" t="s">
        <v>120</v>
      </c>
      <c r="B58">
        <v>2</v>
      </c>
    </row>
    <row r="59" spans="1:2" x14ac:dyDescent="0.2">
      <c r="A59" t="s">
        <v>104</v>
      </c>
      <c r="B59">
        <v>2</v>
      </c>
    </row>
    <row r="60" spans="1:2" x14ac:dyDescent="0.2">
      <c r="A60" t="s">
        <v>130</v>
      </c>
      <c r="B60">
        <v>1</v>
      </c>
    </row>
    <row r="61" spans="1:2" x14ac:dyDescent="0.2">
      <c r="A61" t="s">
        <v>124</v>
      </c>
      <c r="B61">
        <v>1</v>
      </c>
    </row>
    <row r="62" spans="1:2" x14ac:dyDescent="0.2">
      <c r="A62" t="s">
        <v>126</v>
      </c>
      <c r="B62">
        <v>1</v>
      </c>
    </row>
    <row r="63" spans="1:2" x14ac:dyDescent="0.2">
      <c r="A63" t="s">
        <v>134</v>
      </c>
      <c r="B63">
        <v>1</v>
      </c>
    </row>
    <row r="64" spans="1:2" x14ac:dyDescent="0.2">
      <c r="A64" t="s">
        <v>88</v>
      </c>
      <c r="B64">
        <v>1</v>
      </c>
    </row>
    <row r="65" spans="1:2" x14ac:dyDescent="0.2">
      <c r="A65" t="s">
        <v>136</v>
      </c>
      <c r="B65">
        <v>1</v>
      </c>
    </row>
    <row r="66" spans="1:2" x14ac:dyDescent="0.2">
      <c r="A66" t="s">
        <v>106</v>
      </c>
      <c r="B66">
        <v>1</v>
      </c>
    </row>
    <row r="67" spans="1:2" x14ac:dyDescent="0.2">
      <c r="A67" t="s">
        <v>138</v>
      </c>
      <c r="B6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5D52-5EAC-7242-BA83-BF351A1FBA5C}">
  <dimension ref="A1:B61"/>
  <sheetViews>
    <sheetView topLeftCell="A20" workbookViewId="0">
      <selection activeCell="D9" sqref="D9"/>
    </sheetView>
  </sheetViews>
  <sheetFormatPr baseColWidth="10" defaultRowHeight="15" x14ac:dyDescent="0.2"/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351</v>
      </c>
    </row>
    <row r="3" spans="1:2" x14ac:dyDescent="0.2">
      <c r="A3" t="s">
        <v>8</v>
      </c>
      <c r="B3">
        <v>219</v>
      </c>
    </row>
    <row r="4" spans="1:2" x14ac:dyDescent="0.2">
      <c r="A4" t="s">
        <v>6</v>
      </c>
      <c r="B4">
        <v>190</v>
      </c>
    </row>
    <row r="5" spans="1:2" x14ac:dyDescent="0.2">
      <c r="A5" t="s">
        <v>12</v>
      </c>
      <c r="B5">
        <v>158</v>
      </c>
    </row>
    <row r="6" spans="1:2" x14ac:dyDescent="0.2">
      <c r="A6" t="s">
        <v>10</v>
      </c>
      <c r="B6">
        <v>111</v>
      </c>
    </row>
    <row r="7" spans="1:2" x14ac:dyDescent="0.2">
      <c r="A7" t="s">
        <v>14</v>
      </c>
      <c r="B7">
        <v>100</v>
      </c>
    </row>
    <row r="8" spans="1:2" x14ac:dyDescent="0.2">
      <c r="A8" t="s">
        <v>24</v>
      </c>
      <c r="B8">
        <v>50</v>
      </c>
    </row>
    <row r="9" spans="1:2" x14ac:dyDescent="0.2">
      <c r="A9" t="s">
        <v>20</v>
      </c>
      <c r="B9">
        <v>47</v>
      </c>
    </row>
    <row r="10" spans="1:2" x14ac:dyDescent="0.2">
      <c r="A10" t="s">
        <v>16</v>
      </c>
      <c r="B10">
        <v>46</v>
      </c>
    </row>
    <row r="11" spans="1:2" x14ac:dyDescent="0.2">
      <c r="A11" t="s">
        <v>18</v>
      </c>
      <c r="B11">
        <v>41</v>
      </c>
    </row>
    <row r="12" spans="1:2" x14ac:dyDescent="0.2">
      <c r="A12" t="s">
        <v>22</v>
      </c>
      <c r="B12">
        <v>39</v>
      </c>
    </row>
    <row r="13" spans="1:2" x14ac:dyDescent="0.2">
      <c r="A13" t="s">
        <v>28</v>
      </c>
      <c r="B13">
        <v>33</v>
      </c>
    </row>
    <row r="14" spans="1:2" x14ac:dyDescent="0.2">
      <c r="A14" t="s">
        <v>26</v>
      </c>
      <c r="B14">
        <v>23</v>
      </c>
    </row>
    <row r="15" spans="1:2" x14ac:dyDescent="0.2">
      <c r="A15" t="s">
        <v>30</v>
      </c>
      <c r="B15">
        <v>21</v>
      </c>
    </row>
    <row r="16" spans="1:2" x14ac:dyDescent="0.2">
      <c r="A16" t="s">
        <v>40</v>
      </c>
      <c r="B16">
        <v>20</v>
      </c>
    </row>
    <row r="17" spans="1:2" x14ac:dyDescent="0.2">
      <c r="A17" t="s">
        <v>38</v>
      </c>
      <c r="B17">
        <v>15</v>
      </c>
    </row>
    <row r="18" spans="1:2" x14ac:dyDescent="0.2">
      <c r="A18" t="s">
        <v>34</v>
      </c>
      <c r="B18">
        <v>13</v>
      </c>
    </row>
    <row r="19" spans="1:2" x14ac:dyDescent="0.2">
      <c r="A19" t="s">
        <v>46</v>
      </c>
      <c r="B19">
        <v>11</v>
      </c>
    </row>
    <row r="20" spans="1:2" x14ac:dyDescent="0.2">
      <c r="A20" t="s">
        <v>50</v>
      </c>
      <c r="B20">
        <v>11</v>
      </c>
    </row>
    <row r="21" spans="1:2" x14ac:dyDescent="0.2">
      <c r="A21" t="s">
        <v>56</v>
      </c>
      <c r="B21">
        <v>8</v>
      </c>
    </row>
    <row r="22" spans="1:2" x14ac:dyDescent="0.2">
      <c r="A22" t="s">
        <v>44</v>
      </c>
      <c r="B22">
        <v>8</v>
      </c>
    </row>
    <row r="23" spans="1:2" x14ac:dyDescent="0.2">
      <c r="A23" t="s">
        <v>42</v>
      </c>
      <c r="B23">
        <v>7</v>
      </c>
    </row>
    <row r="24" spans="1:2" x14ac:dyDescent="0.2">
      <c r="A24" t="s">
        <v>52</v>
      </c>
      <c r="B24">
        <v>6</v>
      </c>
    </row>
    <row r="25" spans="1:2" x14ac:dyDescent="0.2">
      <c r="A25" t="s">
        <v>54</v>
      </c>
      <c r="B25">
        <v>6</v>
      </c>
    </row>
    <row r="26" spans="1:2" x14ac:dyDescent="0.2">
      <c r="A26" t="s">
        <v>48</v>
      </c>
      <c r="B26">
        <v>5</v>
      </c>
    </row>
    <row r="27" spans="1:2" x14ac:dyDescent="0.2">
      <c r="A27" t="s">
        <v>60</v>
      </c>
      <c r="B27">
        <v>5</v>
      </c>
    </row>
    <row r="28" spans="1:2" x14ac:dyDescent="0.2">
      <c r="A28" t="s">
        <v>68</v>
      </c>
      <c r="B28">
        <v>5</v>
      </c>
    </row>
    <row r="29" spans="1:2" x14ac:dyDescent="0.2">
      <c r="A29" t="s">
        <v>72</v>
      </c>
      <c r="B29">
        <v>4</v>
      </c>
    </row>
    <row r="30" spans="1:2" x14ac:dyDescent="0.2">
      <c r="A30" t="s">
        <v>80</v>
      </c>
      <c r="B30">
        <v>4</v>
      </c>
    </row>
    <row r="31" spans="1:2" x14ac:dyDescent="0.2">
      <c r="A31" t="s">
        <v>70</v>
      </c>
      <c r="B31">
        <v>4</v>
      </c>
    </row>
    <row r="32" spans="1:2" x14ac:dyDescent="0.2">
      <c r="A32" t="s">
        <v>92</v>
      </c>
      <c r="B32">
        <v>3</v>
      </c>
    </row>
    <row r="33" spans="1:2" x14ac:dyDescent="0.2">
      <c r="A33" t="s">
        <v>66</v>
      </c>
      <c r="B33">
        <v>3</v>
      </c>
    </row>
    <row r="34" spans="1:2" x14ac:dyDescent="0.2">
      <c r="A34" t="s">
        <v>74</v>
      </c>
      <c r="B34">
        <v>3</v>
      </c>
    </row>
    <row r="35" spans="1:2" x14ac:dyDescent="0.2">
      <c r="A35" t="s">
        <v>58</v>
      </c>
      <c r="B35">
        <v>3</v>
      </c>
    </row>
    <row r="36" spans="1:2" x14ac:dyDescent="0.2">
      <c r="A36" t="s">
        <v>62</v>
      </c>
      <c r="B36">
        <v>3</v>
      </c>
    </row>
    <row r="37" spans="1:2" x14ac:dyDescent="0.2">
      <c r="A37" t="s">
        <v>64</v>
      </c>
      <c r="B37">
        <v>3</v>
      </c>
    </row>
    <row r="38" spans="1:2" x14ac:dyDescent="0.2">
      <c r="A38" t="s">
        <v>122</v>
      </c>
      <c r="B38">
        <v>2</v>
      </c>
    </row>
    <row r="39" spans="1:2" x14ac:dyDescent="0.2">
      <c r="A39" t="s">
        <v>110</v>
      </c>
      <c r="B39">
        <v>2</v>
      </c>
    </row>
    <row r="40" spans="1:2" x14ac:dyDescent="0.2">
      <c r="A40" t="s">
        <v>118</v>
      </c>
      <c r="B40">
        <v>2</v>
      </c>
    </row>
    <row r="41" spans="1:2" x14ac:dyDescent="0.2">
      <c r="A41" t="s">
        <v>78</v>
      </c>
      <c r="B41">
        <v>2</v>
      </c>
    </row>
    <row r="42" spans="1:2" x14ac:dyDescent="0.2">
      <c r="A42" t="s">
        <v>102</v>
      </c>
      <c r="B42">
        <v>2</v>
      </c>
    </row>
    <row r="43" spans="1:2" x14ac:dyDescent="0.2">
      <c r="A43" t="s">
        <v>98</v>
      </c>
      <c r="B43">
        <v>2</v>
      </c>
    </row>
    <row r="44" spans="1:2" x14ac:dyDescent="0.2">
      <c r="A44" t="s">
        <v>76</v>
      </c>
      <c r="B44">
        <v>2</v>
      </c>
    </row>
    <row r="45" spans="1:2" x14ac:dyDescent="0.2">
      <c r="A45" t="s">
        <v>104</v>
      </c>
      <c r="B45">
        <v>2</v>
      </c>
    </row>
    <row r="46" spans="1:2" x14ac:dyDescent="0.2">
      <c r="A46" t="s">
        <v>82</v>
      </c>
      <c r="B46">
        <v>2</v>
      </c>
    </row>
    <row r="47" spans="1:2" x14ac:dyDescent="0.2">
      <c r="A47" t="s">
        <v>120</v>
      </c>
      <c r="B47">
        <v>2</v>
      </c>
    </row>
    <row r="48" spans="1:2" x14ac:dyDescent="0.2">
      <c r="A48" t="s">
        <v>114</v>
      </c>
      <c r="B48">
        <v>2</v>
      </c>
    </row>
    <row r="49" spans="1:2" x14ac:dyDescent="0.2">
      <c r="A49" t="s">
        <v>84</v>
      </c>
      <c r="B49">
        <v>1</v>
      </c>
    </row>
    <row r="50" spans="1:2" x14ac:dyDescent="0.2">
      <c r="A50" t="s">
        <v>86</v>
      </c>
      <c r="B50">
        <v>1</v>
      </c>
    </row>
    <row r="51" spans="1:2" x14ac:dyDescent="0.2">
      <c r="A51" t="s">
        <v>116</v>
      </c>
      <c r="B51">
        <v>1</v>
      </c>
    </row>
    <row r="52" spans="1:2" x14ac:dyDescent="0.2">
      <c r="A52" t="s">
        <v>96</v>
      </c>
      <c r="B52">
        <v>1</v>
      </c>
    </row>
    <row r="53" spans="1:2" x14ac:dyDescent="0.2">
      <c r="A53" t="s">
        <v>88</v>
      </c>
      <c r="B53">
        <v>1</v>
      </c>
    </row>
    <row r="54" spans="1:2" x14ac:dyDescent="0.2">
      <c r="A54" t="s">
        <v>130</v>
      </c>
      <c r="B54">
        <v>1</v>
      </c>
    </row>
    <row r="55" spans="1:2" x14ac:dyDescent="0.2">
      <c r="A55" t="s">
        <v>90</v>
      </c>
      <c r="B55">
        <v>1</v>
      </c>
    </row>
    <row r="56" spans="1:2" x14ac:dyDescent="0.2">
      <c r="A56" t="s">
        <v>106</v>
      </c>
      <c r="B56">
        <v>1</v>
      </c>
    </row>
    <row r="57" spans="1:2" x14ac:dyDescent="0.2">
      <c r="A57" t="s">
        <v>108</v>
      </c>
      <c r="B57">
        <v>1</v>
      </c>
    </row>
    <row r="58" spans="1:2" x14ac:dyDescent="0.2">
      <c r="A58" t="s">
        <v>126</v>
      </c>
      <c r="B58">
        <v>1</v>
      </c>
    </row>
    <row r="59" spans="1:2" x14ac:dyDescent="0.2">
      <c r="A59" t="s">
        <v>134</v>
      </c>
      <c r="B59">
        <v>1</v>
      </c>
    </row>
    <row r="60" spans="1:2" x14ac:dyDescent="0.2">
      <c r="A60" t="s">
        <v>32</v>
      </c>
      <c r="B60">
        <v>1</v>
      </c>
    </row>
    <row r="61" spans="1:2" x14ac:dyDescent="0.2">
      <c r="A61" t="s">
        <v>100</v>
      </c>
      <c r="B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93E8-8BF4-D24A-95B2-1584486EE564}">
  <dimension ref="A1:B54"/>
  <sheetViews>
    <sheetView topLeftCell="A13" workbookViewId="0">
      <selection activeCell="F22" sqref="F22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246</v>
      </c>
    </row>
    <row r="3" spans="1:2" x14ac:dyDescent="0.2">
      <c r="A3" t="s">
        <v>6</v>
      </c>
      <c r="B3">
        <v>127</v>
      </c>
    </row>
    <row r="4" spans="1:2" x14ac:dyDescent="0.2">
      <c r="A4" t="s">
        <v>8</v>
      </c>
      <c r="B4">
        <v>106</v>
      </c>
    </row>
    <row r="5" spans="1:2" x14ac:dyDescent="0.2">
      <c r="A5" t="s">
        <v>12</v>
      </c>
      <c r="B5">
        <v>100</v>
      </c>
    </row>
    <row r="6" spans="1:2" x14ac:dyDescent="0.2">
      <c r="A6" t="s">
        <v>10</v>
      </c>
      <c r="B6">
        <v>77</v>
      </c>
    </row>
    <row r="7" spans="1:2" x14ac:dyDescent="0.2">
      <c r="A7" t="s">
        <v>14</v>
      </c>
      <c r="B7">
        <v>60</v>
      </c>
    </row>
    <row r="8" spans="1:2" x14ac:dyDescent="0.2">
      <c r="A8" t="s">
        <v>24</v>
      </c>
      <c r="B8">
        <v>42</v>
      </c>
    </row>
    <row r="9" spans="1:2" x14ac:dyDescent="0.2">
      <c r="A9" t="s">
        <v>20</v>
      </c>
      <c r="B9">
        <v>41</v>
      </c>
    </row>
    <row r="10" spans="1:2" x14ac:dyDescent="0.2">
      <c r="A10" t="s">
        <v>22</v>
      </c>
      <c r="B10">
        <v>35</v>
      </c>
    </row>
    <row r="11" spans="1:2" x14ac:dyDescent="0.2">
      <c r="A11" t="s">
        <v>28</v>
      </c>
      <c r="B11">
        <v>29</v>
      </c>
    </row>
    <row r="12" spans="1:2" x14ac:dyDescent="0.2">
      <c r="A12" t="s">
        <v>16</v>
      </c>
      <c r="B12">
        <v>26</v>
      </c>
    </row>
    <row r="13" spans="1:2" x14ac:dyDescent="0.2">
      <c r="A13" t="s">
        <v>30</v>
      </c>
      <c r="B13">
        <v>19</v>
      </c>
    </row>
    <row r="14" spans="1:2" x14ac:dyDescent="0.2">
      <c r="A14" t="s">
        <v>40</v>
      </c>
      <c r="B14">
        <v>17</v>
      </c>
    </row>
    <row r="15" spans="1:2" x14ac:dyDescent="0.2">
      <c r="A15" t="s">
        <v>18</v>
      </c>
      <c r="B15">
        <v>15</v>
      </c>
    </row>
    <row r="16" spans="1:2" x14ac:dyDescent="0.2">
      <c r="A16" t="s">
        <v>34</v>
      </c>
      <c r="B16">
        <v>12</v>
      </c>
    </row>
    <row r="17" spans="1:2" x14ac:dyDescent="0.2">
      <c r="A17" t="s">
        <v>38</v>
      </c>
      <c r="B17">
        <v>11</v>
      </c>
    </row>
    <row r="18" spans="1:2" x14ac:dyDescent="0.2">
      <c r="A18" t="s">
        <v>46</v>
      </c>
      <c r="B18">
        <v>9</v>
      </c>
    </row>
    <row r="19" spans="1:2" x14ac:dyDescent="0.2">
      <c r="A19" t="s">
        <v>50</v>
      </c>
      <c r="B19">
        <v>8</v>
      </c>
    </row>
    <row r="20" spans="1:2" x14ac:dyDescent="0.2">
      <c r="A20" t="s">
        <v>44</v>
      </c>
      <c r="B20">
        <v>7</v>
      </c>
    </row>
    <row r="21" spans="1:2" x14ac:dyDescent="0.2">
      <c r="A21" t="s">
        <v>42</v>
      </c>
      <c r="B21">
        <v>6</v>
      </c>
    </row>
    <row r="22" spans="1:2" x14ac:dyDescent="0.2">
      <c r="A22" t="s">
        <v>54</v>
      </c>
      <c r="B22">
        <v>6</v>
      </c>
    </row>
    <row r="23" spans="1:2" x14ac:dyDescent="0.2">
      <c r="A23" t="s">
        <v>68</v>
      </c>
      <c r="B23">
        <v>5</v>
      </c>
    </row>
    <row r="24" spans="1:2" x14ac:dyDescent="0.2">
      <c r="A24" t="s">
        <v>26</v>
      </c>
      <c r="B24">
        <v>5</v>
      </c>
    </row>
    <row r="25" spans="1:2" x14ac:dyDescent="0.2">
      <c r="A25" t="s">
        <v>56</v>
      </c>
      <c r="B25">
        <v>4</v>
      </c>
    </row>
    <row r="26" spans="1:2" x14ac:dyDescent="0.2">
      <c r="A26" t="s">
        <v>52</v>
      </c>
      <c r="B26">
        <v>4</v>
      </c>
    </row>
    <row r="27" spans="1:2" x14ac:dyDescent="0.2">
      <c r="A27" t="s">
        <v>60</v>
      </c>
      <c r="B27">
        <v>4</v>
      </c>
    </row>
    <row r="28" spans="1:2" x14ac:dyDescent="0.2">
      <c r="A28" t="s">
        <v>70</v>
      </c>
      <c r="B28">
        <v>4</v>
      </c>
    </row>
    <row r="29" spans="1:2" x14ac:dyDescent="0.2">
      <c r="A29" t="s">
        <v>62</v>
      </c>
      <c r="B29">
        <v>3</v>
      </c>
    </row>
    <row r="30" spans="1:2" x14ac:dyDescent="0.2">
      <c r="A30" t="s">
        <v>48</v>
      </c>
      <c r="B30">
        <v>3</v>
      </c>
    </row>
    <row r="31" spans="1:2" x14ac:dyDescent="0.2">
      <c r="A31" t="s">
        <v>58</v>
      </c>
      <c r="B31">
        <v>3</v>
      </c>
    </row>
    <row r="32" spans="1:2" x14ac:dyDescent="0.2">
      <c r="A32" t="s">
        <v>80</v>
      </c>
      <c r="B32">
        <v>3</v>
      </c>
    </row>
    <row r="33" spans="1:2" x14ac:dyDescent="0.2">
      <c r="A33" t="s">
        <v>72</v>
      </c>
      <c r="B33">
        <v>3</v>
      </c>
    </row>
    <row r="34" spans="1:2" x14ac:dyDescent="0.2">
      <c r="A34" t="s">
        <v>66</v>
      </c>
      <c r="B34">
        <v>3</v>
      </c>
    </row>
    <row r="35" spans="1:2" x14ac:dyDescent="0.2">
      <c r="A35" t="s">
        <v>64</v>
      </c>
      <c r="B35">
        <v>3</v>
      </c>
    </row>
    <row r="36" spans="1:2" x14ac:dyDescent="0.2">
      <c r="A36" t="s">
        <v>98</v>
      </c>
      <c r="B36">
        <v>2</v>
      </c>
    </row>
    <row r="37" spans="1:2" x14ac:dyDescent="0.2">
      <c r="A37" t="s">
        <v>110</v>
      </c>
      <c r="B37">
        <v>2</v>
      </c>
    </row>
    <row r="38" spans="1:2" x14ac:dyDescent="0.2">
      <c r="A38" t="s">
        <v>102</v>
      </c>
      <c r="B38">
        <v>2</v>
      </c>
    </row>
    <row r="39" spans="1:2" x14ac:dyDescent="0.2">
      <c r="A39" t="s">
        <v>114</v>
      </c>
      <c r="B39">
        <v>2</v>
      </c>
    </row>
    <row r="40" spans="1:2" x14ac:dyDescent="0.2">
      <c r="A40" t="s">
        <v>104</v>
      </c>
      <c r="B40">
        <v>2</v>
      </c>
    </row>
    <row r="41" spans="1:2" x14ac:dyDescent="0.2">
      <c r="A41" t="s">
        <v>76</v>
      </c>
      <c r="B41">
        <v>2</v>
      </c>
    </row>
    <row r="42" spans="1:2" x14ac:dyDescent="0.2">
      <c r="A42" t="s">
        <v>120</v>
      </c>
      <c r="B42">
        <v>2</v>
      </c>
    </row>
    <row r="43" spans="1:2" x14ac:dyDescent="0.2">
      <c r="A43" t="s">
        <v>82</v>
      </c>
      <c r="B43">
        <v>2</v>
      </c>
    </row>
    <row r="44" spans="1:2" x14ac:dyDescent="0.2">
      <c r="A44" t="s">
        <v>130</v>
      </c>
      <c r="B44">
        <v>1</v>
      </c>
    </row>
    <row r="45" spans="1:2" x14ac:dyDescent="0.2">
      <c r="A45" t="s">
        <v>106</v>
      </c>
      <c r="B45">
        <v>1</v>
      </c>
    </row>
    <row r="46" spans="1:2" x14ac:dyDescent="0.2">
      <c r="A46" t="s">
        <v>88</v>
      </c>
      <c r="B46">
        <v>1</v>
      </c>
    </row>
    <row r="47" spans="1:2" x14ac:dyDescent="0.2">
      <c r="A47" t="s">
        <v>96</v>
      </c>
      <c r="B47">
        <v>1</v>
      </c>
    </row>
    <row r="48" spans="1:2" x14ac:dyDescent="0.2">
      <c r="A48" t="s">
        <v>118</v>
      </c>
      <c r="B48">
        <v>1</v>
      </c>
    </row>
    <row r="49" spans="1:2" x14ac:dyDescent="0.2">
      <c r="A49" t="s">
        <v>32</v>
      </c>
      <c r="B49">
        <v>1</v>
      </c>
    </row>
    <row r="50" spans="1:2" x14ac:dyDescent="0.2">
      <c r="A50" t="s">
        <v>92</v>
      </c>
      <c r="B50">
        <v>1</v>
      </c>
    </row>
    <row r="51" spans="1:2" x14ac:dyDescent="0.2">
      <c r="A51" t="s">
        <v>126</v>
      </c>
      <c r="B51">
        <v>1</v>
      </c>
    </row>
    <row r="52" spans="1:2" x14ac:dyDescent="0.2">
      <c r="A52" t="s">
        <v>84</v>
      </c>
      <c r="B52">
        <v>1</v>
      </c>
    </row>
    <row r="53" spans="1:2" x14ac:dyDescent="0.2">
      <c r="A53" t="s">
        <v>86</v>
      </c>
      <c r="B53">
        <v>1</v>
      </c>
    </row>
    <row r="54" spans="1:2" x14ac:dyDescent="0.2">
      <c r="A54" t="s">
        <v>100</v>
      </c>
      <c r="B5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6106-212C-DC4F-A4CE-6C15BAA21BB7}">
  <dimension ref="A1:B39"/>
  <sheetViews>
    <sheetView workbookViewId="0">
      <selection activeCell="F13" sqref="F13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94</v>
      </c>
    </row>
    <row r="3" spans="1:2" x14ac:dyDescent="0.2">
      <c r="A3" t="s">
        <v>8</v>
      </c>
      <c r="B3">
        <v>53</v>
      </c>
    </row>
    <row r="4" spans="1:2" x14ac:dyDescent="0.2">
      <c r="A4" t="s">
        <v>6</v>
      </c>
      <c r="B4">
        <v>37</v>
      </c>
    </row>
    <row r="5" spans="1:2" x14ac:dyDescent="0.2">
      <c r="A5" t="s">
        <v>12</v>
      </c>
      <c r="B5">
        <v>32</v>
      </c>
    </row>
    <row r="6" spans="1:2" x14ac:dyDescent="0.2">
      <c r="A6" t="s">
        <v>22</v>
      </c>
      <c r="B6">
        <v>28</v>
      </c>
    </row>
    <row r="7" spans="1:2" x14ac:dyDescent="0.2">
      <c r="A7" t="s">
        <v>24</v>
      </c>
      <c r="B7">
        <v>23</v>
      </c>
    </row>
    <row r="8" spans="1:2" x14ac:dyDescent="0.2">
      <c r="A8" t="s">
        <v>14</v>
      </c>
      <c r="B8">
        <v>19</v>
      </c>
    </row>
    <row r="9" spans="1:2" x14ac:dyDescent="0.2">
      <c r="A9" t="s">
        <v>30</v>
      </c>
      <c r="B9">
        <v>12</v>
      </c>
    </row>
    <row r="10" spans="1:2" x14ac:dyDescent="0.2">
      <c r="A10" t="s">
        <v>10</v>
      </c>
      <c r="B10">
        <v>11</v>
      </c>
    </row>
    <row r="11" spans="1:2" x14ac:dyDescent="0.2">
      <c r="A11" t="s">
        <v>18</v>
      </c>
      <c r="B11">
        <v>7</v>
      </c>
    </row>
    <row r="12" spans="1:2" x14ac:dyDescent="0.2">
      <c r="A12" t="s">
        <v>40</v>
      </c>
      <c r="B12">
        <v>7</v>
      </c>
    </row>
    <row r="13" spans="1:2" x14ac:dyDescent="0.2">
      <c r="A13" t="s">
        <v>54</v>
      </c>
      <c r="B13">
        <v>6</v>
      </c>
    </row>
    <row r="14" spans="1:2" x14ac:dyDescent="0.2">
      <c r="A14" t="s">
        <v>34</v>
      </c>
      <c r="B14">
        <v>6</v>
      </c>
    </row>
    <row r="15" spans="1:2" x14ac:dyDescent="0.2">
      <c r="A15" t="s">
        <v>38</v>
      </c>
      <c r="B15">
        <v>6</v>
      </c>
    </row>
    <row r="16" spans="1:2" x14ac:dyDescent="0.2">
      <c r="A16" t="s">
        <v>28</v>
      </c>
      <c r="B16">
        <v>6</v>
      </c>
    </row>
    <row r="17" spans="1:2" x14ac:dyDescent="0.2">
      <c r="A17" t="s">
        <v>16</v>
      </c>
      <c r="B17">
        <v>5</v>
      </c>
    </row>
    <row r="18" spans="1:2" x14ac:dyDescent="0.2">
      <c r="A18" t="s">
        <v>20</v>
      </c>
      <c r="B18">
        <v>4</v>
      </c>
    </row>
    <row r="19" spans="1:2" x14ac:dyDescent="0.2">
      <c r="A19" t="s">
        <v>44</v>
      </c>
      <c r="B19">
        <v>3</v>
      </c>
    </row>
    <row r="20" spans="1:2" x14ac:dyDescent="0.2">
      <c r="A20" t="s">
        <v>56</v>
      </c>
      <c r="B20">
        <v>3</v>
      </c>
    </row>
    <row r="21" spans="1:2" x14ac:dyDescent="0.2">
      <c r="A21" t="s">
        <v>70</v>
      </c>
      <c r="B21">
        <v>3</v>
      </c>
    </row>
    <row r="22" spans="1:2" x14ac:dyDescent="0.2">
      <c r="A22" t="s">
        <v>26</v>
      </c>
      <c r="B22">
        <v>2</v>
      </c>
    </row>
    <row r="23" spans="1:2" x14ac:dyDescent="0.2">
      <c r="A23" t="s">
        <v>58</v>
      </c>
      <c r="B23">
        <v>2</v>
      </c>
    </row>
    <row r="24" spans="1:2" x14ac:dyDescent="0.2">
      <c r="A24" t="s">
        <v>64</v>
      </c>
      <c r="B24">
        <v>2</v>
      </c>
    </row>
    <row r="25" spans="1:2" x14ac:dyDescent="0.2">
      <c r="A25" t="s">
        <v>42</v>
      </c>
      <c r="B25">
        <v>1</v>
      </c>
    </row>
    <row r="26" spans="1:2" x14ac:dyDescent="0.2">
      <c r="A26" t="s">
        <v>72</v>
      </c>
      <c r="B26">
        <v>1</v>
      </c>
    </row>
    <row r="27" spans="1:2" x14ac:dyDescent="0.2">
      <c r="A27" t="s">
        <v>84</v>
      </c>
      <c r="B27">
        <v>1</v>
      </c>
    </row>
    <row r="28" spans="1:2" x14ac:dyDescent="0.2">
      <c r="A28" t="s">
        <v>80</v>
      </c>
      <c r="B28">
        <v>1</v>
      </c>
    </row>
    <row r="29" spans="1:2" x14ac:dyDescent="0.2">
      <c r="A29" t="s">
        <v>110</v>
      </c>
      <c r="B29">
        <v>1</v>
      </c>
    </row>
    <row r="30" spans="1:2" x14ac:dyDescent="0.2">
      <c r="A30" t="s">
        <v>96</v>
      </c>
      <c r="B30">
        <v>1</v>
      </c>
    </row>
    <row r="31" spans="1:2" x14ac:dyDescent="0.2">
      <c r="A31" t="s">
        <v>52</v>
      </c>
      <c r="B31">
        <v>1</v>
      </c>
    </row>
    <row r="32" spans="1:2" x14ac:dyDescent="0.2">
      <c r="A32" t="s">
        <v>60</v>
      </c>
      <c r="B32">
        <v>1</v>
      </c>
    </row>
    <row r="33" spans="1:2" x14ac:dyDescent="0.2">
      <c r="A33" t="s">
        <v>102</v>
      </c>
      <c r="B33">
        <v>1</v>
      </c>
    </row>
    <row r="34" spans="1:2" x14ac:dyDescent="0.2">
      <c r="A34" t="s">
        <v>76</v>
      </c>
      <c r="B34">
        <v>1</v>
      </c>
    </row>
    <row r="35" spans="1:2" x14ac:dyDescent="0.2">
      <c r="A35" t="s">
        <v>68</v>
      </c>
      <c r="B35">
        <v>1</v>
      </c>
    </row>
    <row r="36" spans="1:2" x14ac:dyDescent="0.2">
      <c r="A36" t="s">
        <v>118</v>
      </c>
      <c r="B36">
        <v>1</v>
      </c>
    </row>
    <row r="37" spans="1:2" x14ac:dyDescent="0.2">
      <c r="A37" t="s">
        <v>32</v>
      </c>
      <c r="B37">
        <v>1</v>
      </c>
    </row>
    <row r="38" spans="1:2" x14ac:dyDescent="0.2">
      <c r="A38" t="s">
        <v>92</v>
      </c>
      <c r="B38">
        <v>1</v>
      </c>
    </row>
    <row r="39" spans="1:2" x14ac:dyDescent="0.2">
      <c r="A39" t="s">
        <v>100</v>
      </c>
      <c r="B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Week5</vt:lpstr>
      <vt:lpstr>Week4</vt:lpstr>
      <vt:lpstr>Week3</vt:lpstr>
      <vt:lpstr>Week2</vt:lpstr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2026-02-25T21:53:12Z</dcterms:created>
  <dcterms:modified xsi:type="dcterms:W3CDTF">2026-02-26T21:07:40Z</dcterms:modified>
</cp:coreProperties>
</file>