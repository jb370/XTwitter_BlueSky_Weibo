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ohncburns/Documents/New_Research/Blue Sky/List of Countries/Countries_over_time/Chinese_COT/"/>
    </mc:Choice>
  </mc:AlternateContent>
  <xr:revisionPtr revIDLastSave="0" documentId="13_ncr:1_{3905A2EF-82BD-7F49-AAB5-B836E745C8BA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Week7" sheetId="1" r:id="rId1"/>
    <sheet name="Week6" sheetId="2" r:id="rId2"/>
    <sheet name="Week5" sheetId="3" r:id="rId3"/>
    <sheet name="Week4" sheetId="4" r:id="rId4"/>
    <sheet name="Week3" sheetId="5" r:id="rId5"/>
    <sheet name="Week2" sheetId="6" r:id="rId6"/>
    <sheet name="Week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" i="1" l="1"/>
  <c r="D79" i="1"/>
  <c r="X3" i="1"/>
  <c r="Y3" i="1"/>
  <c r="Z3" i="1"/>
  <c r="AA3" i="1"/>
  <c r="AB3" i="1"/>
  <c r="AC3" i="1"/>
  <c r="AD3" i="1"/>
  <c r="X4" i="1"/>
  <c r="Y4" i="1"/>
  <c r="Z4" i="1"/>
  <c r="AA4" i="1"/>
  <c r="AB4" i="1"/>
  <c r="AC4" i="1"/>
  <c r="AD4" i="1"/>
  <c r="X5" i="1"/>
  <c r="Y5" i="1"/>
  <c r="Z5" i="1"/>
  <c r="AA5" i="1"/>
  <c r="AB5" i="1"/>
  <c r="AC5" i="1"/>
  <c r="AD5" i="1"/>
  <c r="X6" i="1"/>
  <c r="Y6" i="1"/>
  <c r="Z6" i="1"/>
  <c r="AA6" i="1"/>
  <c r="AB6" i="1"/>
  <c r="AC6" i="1"/>
  <c r="AD6" i="1"/>
  <c r="X7" i="1"/>
  <c r="Y7" i="1"/>
  <c r="Z7" i="1"/>
  <c r="AA7" i="1"/>
  <c r="AB7" i="1"/>
  <c r="AC7" i="1"/>
  <c r="AD7" i="1"/>
  <c r="X8" i="1"/>
  <c r="Y8" i="1"/>
  <c r="Z8" i="1"/>
  <c r="AA8" i="1"/>
  <c r="AB8" i="1"/>
  <c r="AC8" i="1"/>
  <c r="AD8" i="1"/>
  <c r="X9" i="1"/>
  <c r="Y9" i="1"/>
  <c r="Z9" i="1"/>
  <c r="AA9" i="1"/>
  <c r="AB9" i="1"/>
  <c r="AC9" i="1"/>
  <c r="AD9" i="1"/>
  <c r="X10" i="1"/>
  <c r="Y10" i="1"/>
  <c r="Z10" i="1"/>
  <c r="AA10" i="1"/>
  <c r="AB10" i="1"/>
  <c r="AC10" i="1"/>
  <c r="AD10" i="1"/>
  <c r="X11" i="1"/>
  <c r="Y11" i="1"/>
  <c r="Z11" i="1"/>
  <c r="AA11" i="1"/>
  <c r="AB11" i="1"/>
  <c r="AC11" i="1"/>
  <c r="AD11" i="1"/>
  <c r="X12" i="1"/>
  <c r="Y12" i="1"/>
  <c r="Z12" i="1"/>
  <c r="AA12" i="1"/>
  <c r="AB12" i="1"/>
  <c r="AC12" i="1"/>
  <c r="AD12" i="1"/>
  <c r="X13" i="1"/>
  <c r="Y13" i="1"/>
  <c r="Z13" i="1"/>
  <c r="AA13" i="1"/>
  <c r="AB13" i="1"/>
  <c r="AC13" i="1"/>
  <c r="AD13" i="1"/>
  <c r="X14" i="1"/>
  <c r="Y14" i="1"/>
  <c r="Z14" i="1"/>
  <c r="AA14" i="1"/>
  <c r="AB14" i="1"/>
  <c r="AC14" i="1"/>
  <c r="AD14" i="1"/>
  <c r="X15" i="1"/>
  <c r="Y15" i="1"/>
  <c r="Z15" i="1"/>
  <c r="AA15" i="1"/>
  <c r="AB15" i="1"/>
  <c r="AC15" i="1"/>
  <c r="AD15" i="1"/>
  <c r="X16" i="1"/>
  <c r="Y16" i="1"/>
  <c r="Z16" i="1"/>
  <c r="AA16" i="1"/>
  <c r="AB16" i="1"/>
  <c r="AC16" i="1"/>
  <c r="AD16" i="1"/>
  <c r="X17" i="1"/>
  <c r="Y17" i="1"/>
  <c r="Z17" i="1"/>
  <c r="AA17" i="1"/>
  <c r="AB17" i="1"/>
  <c r="AC17" i="1"/>
  <c r="AD17" i="1"/>
  <c r="X18" i="1"/>
  <c r="Y18" i="1"/>
  <c r="Z18" i="1"/>
  <c r="AA18" i="1"/>
  <c r="AB18" i="1"/>
  <c r="AC18" i="1"/>
  <c r="AD18" i="1"/>
  <c r="X19" i="1"/>
  <c r="Y19" i="1"/>
  <c r="Z19" i="1"/>
  <c r="AA19" i="1"/>
  <c r="AB19" i="1"/>
  <c r="AC19" i="1"/>
  <c r="AD19" i="1"/>
  <c r="X20" i="1"/>
  <c r="Y20" i="1"/>
  <c r="Z20" i="1"/>
  <c r="AA20" i="1"/>
  <c r="AB20" i="1"/>
  <c r="AC20" i="1"/>
  <c r="AD20" i="1"/>
  <c r="X21" i="1"/>
  <c r="Y21" i="1"/>
  <c r="Z21" i="1"/>
  <c r="AA21" i="1"/>
  <c r="AB21" i="1"/>
  <c r="AC21" i="1"/>
  <c r="AD21" i="1"/>
  <c r="X22" i="1"/>
  <c r="Y22" i="1"/>
  <c r="Z22" i="1"/>
  <c r="AA22" i="1"/>
  <c r="AB22" i="1"/>
  <c r="AC22" i="1"/>
  <c r="AD22" i="1"/>
  <c r="X23" i="1"/>
  <c r="Y23" i="1"/>
  <c r="Z23" i="1"/>
  <c r="AA23" i="1"/>
  <c r="AB23" i="1"/>
  <c r="AC23" i="1"/>
  <c r="AD23" i="1"/>
  <c r="X24" i="1"/>
  <c r="Y24" i="1"/>
  <c r="Z24" i="1"/>
  <c r="AA24" i="1"/>
  <c r="AB24" i="1"/>
  <c r="AC24" i="1"/>
  <c r="AD24" i="1"/>
  <c r="X25" i="1"/>
  <c r="Y25" i="1"/>
  <c r="Z25" i="1"/>
  <c r="AA25" i="1"/>
  <c r="AB25" i="1"/>
  <c r="AC25" i="1"/>
  <c r="AD25" i="1"/>
  <c r="X26" i="1"/>
  <c r="Y26" i="1"/>
  <c r="Z26" i="1"/>
  <c r="AA26" i="1"/>
  <c r="AB26" i="1"/>
  <c r="AC26" i="1"/>
  <c r="AD26" i="1"/>
  <c r="X27" i="1"/>
  <c r="Y27" i="1"/>
  <c r="Z27" i="1"/>
  <c r="AA27" i="1"/>
  <c r="AB27" i="1"/>
  <c r="AC27" i="1"/>
  <c r="AD27" i="1"/>
  <c r="X28" i="1"/>
  <c r="Y28" i="1"/>
  <c r="Z28" i="1"/>
  <c r="AA28" i="1"/>
  <c r="AB28" i="1"/>
  <c r="AC28" i="1"/>
  <c r="AD28" i="1"/>
  <c r="X29" i="1"/>
  <c r="Y29" i="1"/>
  <c r="Z29" i="1"/>
  <c r="AA29" i="1"/>
  <c r="AB29" i="1"/>
  <c r="AC29" i="1"/>
  <c r="AD29" i="1"/>
  <c r="X30" i="1"/>
  <c r="Y30" i="1"/>
  <c r="Z30" i="1"/>
  <c r="AA30" i="1"/>
  <c r="AB30" i="1"/>
  <c r="AC30" i="1"/>
  <c r="AD30" i="1"/>
  <c r="X31" i="1"/>
  <c r="Y31" i="1"/>
  <c r="Z31" i="1"/>
  <c r="AA31" i="1"/>
  <c r="AB31" i="1"/>
  <c r="AC31" i="1"/>
  <c r="AD31" i="1"/>
  <c r="X32" i="1"/>
  <c r="Y32" i="1"/>
  <c r="Z32" i="1"/>
  <c r="AA32" i="1"/>
  <c r="AB32" i="1"/>
  <c r="AC32" i="1"/>
  <c r="AD32" i="1"/>
  <c r="X33" i="1"/>
  <c r="Y33" i="1"/>
  <c r="Z33" i="1"/>
  <c r="AA33" i="1"/>
  <c r="AB33" i="1"/>
  <c r="AC33" i="1"/>
  <c r="AD33" i="1"/>
  <c r="X34" i="1"/>
  <c r="Y34" i="1"/>
  <c r="Z34" i="1"/>
  <c r="AA34" i="1"/>
  <c r="AB34" i="1"/>
  <c r="AC34" i="1"/>
  <c r="AD34" i="1"/>
  <c r="X35" i="1"/>
  <c r="Y35" i="1"/>
  <c r="Z35" i="1"/>
  <c r="AA35" i="1"/>
  <c r="AB35" i="1"/>
  <c r="AC35" i="1"/>
  <c r="AD35" i="1"/>
  <c r="X36" i="1"/>
  <c r="Y36" i="1"/>
  <c r="Z36" i="1"/>
  <c r="AA36" i="1"/>
  <c r="AB36" i="1"/>
  <c r="AC36" i="1"/>
  <c r="AD36" i="1"/>
  <c r="X37" i="1"/>
  <c r="Y37" i="1"/>
  <c r="Z37" i="1"/>
  <c r="AA37" i="1"/>
  <c r="AB37" i="1"/>
  <c r="AC37" i="1"/>
  <c r="AD37" i="1"/>
  <c r="X38" i="1"/>
  <c r="Y38" i="1"/>
  <c r="Z38" i="1"/>
  <c r="AA38" i="1"/>
  <c r="AB38" i="1"/>
  <c r="AC38" i="1"/>
  <c r="AD38" i="1"/>
  <c r="X39" i="1"/>
  <c r="Y39" i="1"/>
  <c r="Z39" i="1"/>
  <c r="AA39" i="1"/>
  <c r="AB39" i="1"/>
  <c r="AC39" i="1"/>
  <c r="AD39" i="1"/>
  <c r="X40" i="1"/>
  <c r="Y40" i="1"/>
  <c r="Z40" i="1"/>
  <c r="AA40" i="1"/>
  <c r="AB40" i="1"/>
  <c r="AC40" i="1"/>
  <c r="AD40" i="1"/>
  <c r="X41" i="1"/>
  <c r="Y41" i="1"/>
  <c r="Z41" i="1"/>
  <c r="AA41" i="1"/>
  <c r="AB41" i="1"/>
  <c r="AC41" i="1"/>
  <c r="AD41" i="1"/>
  <c r="X42" i="1"/>
  <c r="Y42" i="1"/>
  <c r="Z42" i="1"/>
  <c r="AA42" i="1"/>
  <c r="AB42" i="1"/>
  <c r="AC42" i="1"/>
  <c r="AD42" i="1"/>
  <c r="X43" i="1"/>
  <c r="Y43" i="1"/>
  <c r="Z43" i="1"/>
  <c r="AA43" i="1"/>
  <c r="AB43" i="1"/>
  <c r="AC43" i="1"/>
  <c r="AD43" i="1"/>
  <c r="X44" i="1"/>
  <c r="Y44" i="1"/>
  <c r="Z44" i="1"/>
  <c r="AA44" i="1"/>
  <c r="AB44" i="1"/>
  <c r="AC44" i="1"/>
  <c r="AD44" i="1"/>
  <c r="X45" i="1"/>
  <c r="Y45" i="1"/>
  <c r="Z45" i="1"/>
  <c r="AA45" i="1"/>
  <c r="AB45" i="1"/>
  <c r="AC45" i="1"/>
  <c r="AD45" i="1"/>
  <c r="X46" i="1"/>
  <c r="Y46" i="1"/>
  <c r="Z46" i="1"/>
  <c r="AA46" i="1"/>
  <c r="AB46" i="1"/>
  <c r="AC46" i="1"/>
  <c r="AD46" i="1"/>
  <c r="X47" i="1"/>
  <c r="Y47" i="1"/>
  <c r="Z47" i="1"/>
  <c r="AA47" i="1"/>
  <c r="AB47" i="1"/>
  <c r="AC47" i="1"/>
  <c r="AD47" i="1"/>
  <c r="X48" i="1"/>
  <c r="Y48" i="1"/>
  <c r="Z48" i="1"/>
  <c r="AA48" i="1"/>
  <c r="AB48" i="1"/>
  <c r="AC48" i="1"/>
  <c r="AD48" i="1"/>
  <c r="X49" i="1"/>
  <c r="Y49" i="1"/>
  <c r="Z49" i="1"/>
  <c r="AA49" i="1"/>
  <c r="AB49" i="1"/>
  <c r="AC49" i="1"/>
  <c r="AD49" i="1"/>
  <c r="X50" i="1"/>
  <c r="Y50" i="1"/>
  <c r="Z50" i="1"/>
  <c r="AA50" i="1"/>
  <c r="AB50" i="1"/>
  <c r="AC50" i="1"/>
  <c r="AD50" i="1"/>
  <c r="X51" i="1"/>
  <c r="Y51" i="1"/>
  <c r="Z51" i="1"/>
  <c r="AA51" i="1"/>
  <c r="AB51" i="1"/>
  <c r="AC51" i="1"/>
  <c r="AD51" i="1"/>
  <c r="X52" i="1"/>
  <c r="Y52" i="1"/>
  <c r="Z52" i="1"/>
  <c r="AA52" i="1"/>
  <c r="AB52" i="1"/>
  <c r="AC52" i="1"/>
  <c r="AD52" i="1"/>
  <c r="X53" i="1"/>
  <c r="Y53" i="1"/>
  <c r="Z53" i="1"/>
  <c r="AA53" i="1"/>
  <c r="AB53" i="1"/>
  <c r="AC53" i="1"/>
  <c r="AD53" i="1"/>
  <c r="X54" i="1"/>
  <c r="Y54" i="1"/>
  <c r="Z54" i="1"/>
  <c r="AA54" i="1"/>
  <c r="AB54" i="1"/>
  <c r="AC54" i="1"/>
  <c r="AD54" i="1"/>
  <c r="X55" i="1"/>
  <c r="Y55" i="1"/>
  <c r="Z55" i="1"/>
  <c r="AA55" i="1"/>
  <c r="AB55" i="1"/>
  <c r="AC55" i="1"/>
  <c r="AD55" i="1"/>
  <c r="X56" i="1"/>
  <c r="Y56" i="1"/>
  <c r="Z56" i="1"/>
  <c r="AA56" i="1"/>
  <c r="AB56" i="1"/>
  <c r="AC56" i="1"/>
  <c r="AD56" i="1"/>
  <c r="X57" i="1"/>
  <c r="Y57" i="1"/>
  <c r="Z57" i="1"/>
  <c r="AA57" i="1"/>
  <c r="AB57" i="1"/>
  <c r="AC57" i="1"/>
  <c r="AD57" i="1"/>
  <c r="X58" i="1"/>
  <c r="Y58" i="1"/>
  <c r="Z58" i="1"/>
  <c r="AA58" i="1"/>
  <c r="AB58" i="1"/>
  <c r="AC58" i="1"/>
  <c r="AD58" i="1"/>
  <c r="X59" i="1"/>
  <c r="Y59" i="1"/>
  <c r="Z59" i="1"/>
  <c r="AA59" i="1"/>
  <c r="AB59" i="1"/>
  <c r="AC59" i="1"/>
  <c r="AD59" i="1"/>
  <c r="X60" i="1"/>
  <c r="Y60" i="1"/>
  <c r="Z60" i="1"/>
  <c r="AA60" i="1"/>
  <c r="AB60" i="1"/>
  <c r="AC60" i="1"/>
  <c r="AD60" i="1"/>
  <c r="X61" i="1"/>
  <c r="Y61" i="1"/>
  <c r="Z61" i="1"/>
  <c r="AA61" i="1"/>
  <c r="AB61" i="1"/>
  <c r="AC61" i="1"/>
  <c r="AD61" i="1"/>
  <c r="X62" i="1"/>
  <c r="Y62" i="1"/>
  <c r="Z62" i="1"/>
  <c r="AA62" i="1"/>
  <c r="AB62" i="1"/>
  <c r="AC62" i="1"/>
  <c r="AD62" i="1"/>
  <c r="X63" i="1"/>
  <c r="Y63" i="1"/>
  <c r="Z63" i="1"/>
  <c r="AA63" i="1"/>
  <c r="AB63" i="1"/>
  <c r="AC63" i="1"/>
  <c r="AD63" i="1"/>
  <c r="X64" i="1"/>
  <c r="Y64" i="1"/>
  <c r="Z64" i="1"/>
  <c r="AA64" i="1"/>
  <c r="AB64" i="1"/>
  <c r="AC64" i="1"/>
  <c r="AD64" i="1"/>
  <c r="X65" i="1"/>
  <c r="Y65" i="1"/>
  <c r="Z65" i="1"/>
  <c r="AA65" i="1"/>
  <c r="AB65" i="1"/>
  <c r="AC65" i="1"/>
  <c r="AD65" i="1"/>
  <c r="X66" i="1"/>
  <c r="Y66" i="1"/>
  <c r="Z66" i="1"/>
  <c r="AA66" i="1"/>
  <c r="AB66" i="1"/>
  <c r="AC66" i="1"/>
  <c r="AD66" i="1"/>
  <c r="X67" i="1"/>
  <c r="Y67" i="1"/>
  <c r="Z67" i="1"/>
  <c r="AA67" i="1"/>
  <c r="AB67" i="1"/>
  <c r="AC67" i="1"/>
  <c r="AD67" i="1"/>
  <c r="X68" i="1"/>
  <c r="Y68" i="1"/>
  <c r="Z68" i="1"/>
  <c r="AA68" i="1"/>
  <c r="AB68" i="1"/>
  <c r="AC68" i="1"/>
  <c r="AD68" i="1"/>
  <c r="X69" i="1"/>
  <c r="Y69" i="1"/>
  <c r="Z69" i="1"/>
  <c r="AA69" i="1"/>
  <c r="AB69" i="1"/>
  <c r="AC69" i="1"/>
  <c r="AD69" i="1"/>
  <c r="X70" i="1"/>
  <c r="Y70" i="1"/>
  <c r="Z70" i="1"/>
  <c r="AA70" i="1"/>
  <c r="AB70" i="1"/>
  <c r="AC70" i="1"/>
  <c r="AD70" i="1"/>
  <c r="X71" i="1"/>
  <c r="Y71" i="1"/>
  <c r="Z71" i="1"/>
  <c r="AA71" i="1"/>
  <c r="AB71" i="1"/>
  <c r="AC71" i="1"/>
  <c r="AD71" i="1"/>
  <c r="X72" i="1"/>
  <c r="Y72" i="1"/>
  <c r="Z72" i="1"/>
  <c r="AA72" i="1"/>
  <c r="AB72" i="1"/>
  <c r="AC72" i="1"/>
  <c r="AD72" i="1"/>
  <c r="X73" i="1"/>
  <c r="Y73" i="1"/>
  <c r="Z73" i="1"/>
  <c r="AA73" i="1"/>
  <c r="AB73" i="1"/>
  <c r="AC73" i="1"/>
  <c r="AD73" i="1"/>
  <c r="X74" i="1"/>
  <c r="Y74" i="1"/>
  <c r="Z74" i="1"/>
  <c r="AA74" i="1"/>
  <c r="AB74" i="1"/>
  <c r="AC74" i="1"/>
  <c r="AD74" i="1"/>
  <c r="X75" i="1"/>
  <c r="Y75" i="1"/>
  <c r="Z75" i="1"/>
  <c r="AA75" i="1"/>
  <c r="AB75" i="1"/>
  <c r="AC75" i="1"/>
  <c r="AD75" i="1"/>
  <c r="X76" i="1"/>
  <c r="Y76" i="1"/>
  <c r="Z76" i="1"/>
  <c r="AA76" i="1"/>
  <c r="AB76" i="1"/>
  <c r="AC76" i="1"/>
  <c r="AD76" i="1"/>
  <c r="X77" i="1"/>
  <c r="Y77" i="1"/>
  <c r="Z77" i="1"/>
  <c r="AA77" i="1"/>
  <c r="AB77" i="1"/>
  <c r="AC77" i="1"/>
  <c r="AD77" i="1"/>
  <c r="Y2" i="1"/>
  <c r="Z2" i="1"/>
  <c r="AA2" i="1"/>
  <c r="AB2" i="1"/>
  <c r="AC2" i="1"/>
  <c r="AD2" i="1"/>
  <c r="X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2" i="1"/>
</calcChain>
</file>

<file path=xl/sharedStrings.xml><?xml version="1.0" encoding="utf-8"?>
<sst xmlns="http://schemas.openxmlformats.org/spreadsheetml/2006/main" count="679" uniqueCount="169">
  <si>
    <t>Words_Text</t>
  </si>
  <si>
    <t>counts</t>
  </si>
  <si>
    <t>English_Name</t>
  </si>
  <si>
    <t>日本</t>
  </si>
  <si>
    <t>Japan</t>
  </si>
  <si>
    <t>美国</t>
  </si>
  <si>
    <t>United States</t>
  </si>
  <si>
    <t>中国</t>
  </si>
  <si>
    <t>China</t>
  </si>
  <si>
    <t>乌克兰</t>
  </si>
  <si>
    <t>Ukraine</t>
  </si>
  <si>
    <t>俄罗斯</t>
  </si>
  <si>
    <t>Russia</t>
  </si>
  <si>
    <t>韩国</t>
  </si>
  <si>
    <t>South Korea</t>
  </si>
  <si>
    <t>以色列</t>
  </si>
  <si>
    <t>Israel</t>
  </si>
  <si>
    <t>印度</t>
  </si>
  <si>
    <t>India</t>
  </si>
  <si>
    <t>委内瑞拉</t>
  </si>
  <si>
    <t>Venezuela</t>
  </si>
  <si>
    <t>朝鲜</t>
  </si>
  <si>
    <t>North Korea</t>
  </si>
  <si>
    <t>台湾</t>
  </si>
  <si>
    <t>Taiwan</t>
  </si>
  <si>
    <t>德国</t>
  </si>
  <si>
    <t>Germany</t>
  </si>
  <si>
    <t>英国</t>
  </si>
  <si>
    <t>United Kingdom</t>
  </si>
  <si>
    <t>荷兰</t>
  </si>
  <si>
    <t>Netherlands</t>
  </si>
  <si>
    <t>泰国</t>
  </si>
  <si>
    <t>Thailand</t>
  </si>
  <si>
    <t>法国</t>
  </si>
  <si>
    <t>France</t>
  </si>
  <si>
    <t>越南</t>
  </si>
  <si>
    <t>Vietnam</t>
  </si>
  <si>
    <t>缅甸</t>
  </si>
  <si>
    <t>Burma</t>
  </si>
  <si>
    <t>伊朗</t>
  </si>
  <si>
    <t>Iran</t>
  </si>
  <si>
    <t>加拿大</t>
  </si>
  <si>
    <t>Canada</t>
  </si>
  <si>
    <t>巴基斯坦</t>
  </si>
  <si>
    <t>Pakistan</t>
  </si>
  <si>
    <t>巴勒斯坦</t>
  </si>
  <si>
    <t>Palestine</t>
  </si>
  <si>
    <t>巴拿马</t>
  </si>
  <si>
    <t>Panama</t>
  </si>
  <si>
    <t>意大利</t>
  </si>
  <si>
    <t>Italy</t>
  </si>
  <si>
    <t>柬埔寨</t>
  </si>
  <si>
    <t>Cambodia</t>
  </si>
  <si>
    <t>土耳其</t>
  </si>
  <si>
    <t>Turkey</t>
  </si>
  <si>
    <t>立陶宛</t>
  </si>
  <si>
    <t>Lithuania</t>
  </si>
  <si>
    <t>马来西亚</t>
  </si>
  <si>
    <t>Malaysia</t>
  </si>
  <si>
    <t>西班牙</t>
  </si>
  <si>
    <t>Spain</t>
  </si>
  <si>
    <t>南非</t>
  </si>
  <si>
    <t>South Africa</t>
  </si>
  <si>
    <t>新加坡</t>
  </si>
  <si>
    <t>Singapore</t>
  </si>
  <si>
    <t>贝宁</t>
  </si>
  <si>
    <t>Benin</t>
  </si>
  <si>
    <t>瑞典</t>
  </si>
  <si>
    <t>Sweden</t>
  </si>
  <si>
    <t>波兰</t>
  </si>
  <si>
    <t>Poland</t>
  </si>
  <si>
    <t>哥伦比亚</t>
  </si>
  <si>
    <t>Colombia</t>
  </si>
  <si>
    <t>尼日利亚</t>
  </si>
  <si>
    <t>Nigeria</t>
  </si>
  <si>
    <t>墨西哥</t>
  </si>
  <si>
    <t>Mexico</t>
  </si>
  <si>
    <t>巴西</t>
  </si>
  <si>
    <t>Brazil</t>
  </si>
  <si>
    <t>塞尔维亚</t>
  </si>
  <si>
    <t>Serbia</t>
  </si>
  <si>
    <t>希腊</t>
  </si>
  <si>
    <t>Greece</t>
  </si>
  <si>
    <t>苏丹</t>
  </si>
  <si>
    <t>Sudan</t>
  </si>
  <si>
    <t>匈牙利</t>
  </si>
  <si>
    <t>Hungary</t>
  </si>
  <si>
    <t>埃及</t>
  </si>
  <si>
    <t>Egypt</t>
  </si>
  <si>
    <t>古巴</t>
  </si>
  <si>
    <t>Cuba</t>
  </si>
  <si>
    <t>白俄罗斯</t>
  </si>
  <si>
    <t>Belarus</t>
  </si>
  <si>
    <t>阿根廷</t>
  </si>
  <si>
    <t>Argentina</t>
  </si>
  <si>
    <t>阿富汗</t>
  </si>
  <si>
    <t>Afghanistan</t>
  </si>
  <si>
    <t>哈萨克斯坦</t>
  </si>
  <si>
    <t>Kazakhstan</t>
  </si>
  <si>
    <t>老挝</t>
  </si>
  <si>
    <t>Laos</t>
  </si>
  <si>
    <t>卡塔尔</t>
  </si>
  <si>
    <t>Qatar</t>
  </si>
  <si>
    <t>澳大利亚</t>
  </si>
  <si>
    <t>Australia</t>
  </si>
  <si>
    <t>芬兰</t>
  </si>
  <si>
    <t>Finland</t>
  </si>
  <si>
    <t>索马里</t>
  </si>
  <si>
    <t>Somalia</t>
  </si>
  <si>
    <t>挪威</t>
  </si>
  <si>
    <t>Norway</t>
  </si>
  <si>
    <t>丹麦</t>
  </si>
  <si>
    <t>Denmark</t>
  </si>
  <si>
    <t>黑山</t>
  </si>
  <si>
    <t>Montenegro</t>
  </si>
  <si>
    <t>斯洛伐克</t>
  </si>
  <si>
    <t>Slovakia</t>
  </si>
  <si>
    <t>沙特阿拉伯</t>
  </si>
  <si>
    <t>Saudi Arabia</t>
  </si>
  <si>
    <t>叙利亚</t>
  </si>
  <si>
    <t>Syria</t>
  </si>
  <si>
    <t>爱沙尼亚</t>
  </si>
  <si>
    <t>Estonia</t>
  </si>
  <si>
    <t>喀麦隆</t>
  </si>
  <si>
    <t>Cameroon</t>
  </si>
  <si>
    <t>黎巴嫩</t>
  </si>
  <si>
    <t>Lebanon</t>
  </si>
  <si>
    <t>乌干达</t>
  </si>
  <si>
    <t>Uganda</t>
  </si>
  <si>
    <t>吉尔吉斯斯坦</t>
  </si>
  <si>
    <t>Kyrgyzstan</t>
  </si>
  <si>
    <t>新西兰</t>
  </si>
  <si>
    <t>New Zealand</t>
  </si>
  <si>
    <t>乍得</t>
  </si>
  <si>
    <t>Chad</t>
  </si>
  <si>
    <t>布基纳法索</t>
  </si>
  <si>
    <t>Burkina Faso</t>
  </si>
  <si>
    <t>蒙古</t>
  </si>
  <si>
    <t>Mongolia</t>
  </si>
  <si>
    <t>利比里亚</t>
  </si>
  <si>
    <t>Liberia</t>
  </si>
  <si>
    <t>智利</t>
  </si>
  <si>
    <t>Chile</t>
  </si>
  <si>
    <t>危地马拉</t>
  </si>
  <si>
    <t>Guatemala</t>
  </si>
  <si>
    <t>比利时</t>
  </si>
  <si>
    <t>Belgium</t>
  </si>
  <si>
    <t>安哥拉</t>
  </si>
  <si>
    <t>Angola</t>
  </si>
  <si>
    <t>卢旺达</t>
  </si>
  <si>
    <t>Rwanda</t>
  </si>
  <si>
    <t>爱尔兰</t>
  </si>
  <si>
    <t>Ireland</t>
  </si>
  <si>
    <t>也门</t>
  </si>
  <si>
    <t>Yemen</t>
  </si>
  <si>
    <t>counts7</t>
  </si>
  <si>
    <t>counts6</t>
  </si>
  <si>
    <t>counts5</t>
  </si>
  <si>
    <t>counts4</t>
  </si>
  <si>
    <t>counts3</t>
  </si>
  <si>
    <t>counts2</t>
  </si>
  <si>
    <t>counts1</t>
  </si>
  <si>
    <t>counts7diff</t>
  </si>
  <si>
    <t>counts6diff</t>
  </si>
  <si>
    <t>counts5diff</t>
  </si>
  <si>
    <t>counts4diff</t>
  </si>
  <si>
    <t>counts3diff</t>
  </si>
  <si>
    <t>counts2diff</t>
  </si>
  <si>
    <t>counts1diff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</si>
</sst>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0"/>
  <sheetViews>
    <sheetView tabSelected="1" workbookViewId="0">
      <selection activeCell="L9" sqref="L9"/>
    </sheetView>
  </sheetViews>
  <sheetFormatPr baseColWidth="10" defaultColWidth="8.83203125" defaultRowHeight="15" x14ac:dyDescent="0.2"/>
  <cols>
    <col min="3" max="3" width="13.5" bestFit="1" customWidth="1"/>
    <col min="4" max="4" width="7.33203125" bestFit="1" customWidth="1"/>
    <col min="13" max="13" width="13.5" bestFit="1" customWidth="1"/>
    <col min="23" max="23" width="13.5" bestFit="1" customWidth="1"/>
    <col min="24" max="30" width="9.83203125" bestFit="1" customWidth="1"/>
  </cols>
  <sheetData>
    <row r="1" spans="1:30" x14ac:dyDescent="0.2">
      <c r="B1" s="1" t="s">
        <v>0</v>
      </c>
      <c r="C1" s="1" t="s">
        <v>2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M1" s="2" t="s">
        <v>2</v>
      </c>
      <c r="N1" s="2" t="s">
        <v>155</v>
      </c>
      <c r="O1" s="2" t="s">
        <v>156</v>
      </c>
      <c r="P1" s="2" t="s">
        <v>157</v>
      </c>
      <c r="Q1" s="2" t="s">
        <v>158</v>
      </c>
      <c r="R1" s="2" t="s">
        <v>159</v>
      </c>
      <c r="S1" s="2" t="s">
        <v>160</v>
      </c>
      <c r="T1" s="2" t="s">
        <v>161</v>
      </c>
      <c r="W1" s="2" t="s">
        <v>2</v>
      </c>
      <c r="X1" s="2" t="s">
        <v>162</v>
      </c>
      <c r="Y1" s="2" t="s">
        <v>163</v>
      </c>
      <c r="Z1" s="2" t="s">
        <v>164</v>
      </c>
      <c r="AA1" s="2" t="s">
        <v>165</v>
      </c>
      <c r="AB1" s="2" t="s">
        <v>166</v>
      </c>
      <c r="AC1" s="2" t="s">
        <v>167</v>
      </c>
      <c r="AD1" s="2" t="s">
        <v>168</v>
      </c>
    </row>
    <row r="2" spans="1:30" x14ac:dyDescent="0.2">
      <c r="A2" s="1">
        <v>0</v>
      </c>
      <c r="B2" t="s">
        <v>3</v>
      </c>
      <c r="C2" t="s">
        <v>4</v>
      </c>
      <c r="D2">
        <v>654</v>
      </c>
      <c r="E2">
        <f>VLOOKUP(C2,Week6!$A$2:$B$73,2,FALSE)</f>
        <v>563</v>
      </c>
      <c r="F2">
        <f>VLOOKUP(C2,Week5!$A$2:$B$67,2,FALSE)</f>
        <v>408</v>
      </c>
      <c r="G2">
        <f>VLOOKUP(C2,Week4!$A$2:$B$64,2,FALSE)</f>
        <v>243</v>
      </c>
      <c r="H2">
        <f>VLOOKUP(C2,Week3!$A$2:$B$61,2,FALSE)</f>
        <v>102</v>
      </c>
      <c r="I2">
        <f>VLOOKUP(C2,Week2!$A$2:$B$48,2,FALSE)</f>
        <v>73</v>
      </c>
      <c r="J2">
        <f>VLOOKUP(C2,Week1!$A$2:$B$31,2,FALSE)</f>
        <v>30</v>
      </c>
      <c r="M2" t="s">
        <v>4</v>
      </c>
      <c r="N2">
        <v>654</v>
      </c>
      <c r="O2">
        <v>563</v>
      </c>
      <c r="P2">
        <v>408</v>
      </c>
      <c r="Q2">
        <v>243</v>
      </c>
      <c r="R2">
        <v>102</v>
      </c>
      <c r="S2">
        <v>73</v>
      </c>
      <c r="T2">
        <v>30</v>
      </c>
      <c r="W2" t="s">
        <v>4</v>
      </c>
      <c r="X2">
        <f>N2-O2</f>
        <v>91</v>
      </c>
      <c r="Y2">
        <f t="shared" ref="Y2:AD2" si="0">O2-P2</f>
        <v>155</v>
      </c>
      <c r="Z2">
        <f t="shared" si="0"/>
        <v>165</v>
      </c>
      <c r="AA2">
        <f t="shared" si="0"/>
        <v>141</v>
      </c>
      <c r="AB2">
        <f t="shared" si="0"/>
        <v>29</v>
      </c>
      <c r="AC2">
        <f t="shared" si="0"/>
        <v>43</v>
      </c>
      <c r="AD2">
        <f t="shared" si="0"/>
        <v>30</v>
      </c>
    </row>
    <row r="3" spans="1:30" x14ac:dyDescent="0.2">
      <c r="A3" s="1">
        <v>1</v>
      </c>
      <c r="B3" t="s">
        <v>5</v>
      </c>
      <c r="C3" t="s">
        <v>6</v>
      </c>
      <c r="D3">
        <v>433</v>
      </c>
      <c r="E3">
        <f>VLOOKUP(C3,Week6!$A$2:$B$73,2,FALSE)</f>
        <v>392</v>
      </c>
      <c r="F3">
        <f>VLOOKUP(C3,Week5!$A$2:$B$67,2,FALSE)</f>
        <v>326</v>
      </c>
      <c r="G3">
        <f>VLOOKUP(C3,Week4!$A$2:$B$64,2,FALSE)</f>
        <v>282</v>
      </c>
      <c r="H3">
        <f>VLOOKUP(C3,Week3!$A$2:$B$61,2,FALSE)</f>
        <v>234</v>
      </c>
      <c r="I3">
        <f>VLOOKUP(C3,Week2!$A$2:$B$48,2,FALSE)</f>
        <v>166</v>
      </c>
      <c r="J3">
        <f>VLOOKUP(C3,Week1!$A$2:$B$31,2,FALSE)</f>
        <v>74</v>
      </c>
      <c r="M3" t="s">
        <v>6</v>
      </c>
      <c r="N3">
        <v>433</v>
      </c>
      <c r="O3">
        <v>392</v>
      </c>
      <c r="P3">
        <v>326</v>
      </c>
      <c r="Q3">
        <v>282</v>
      </c>
      <c r="R3">
        <v>234</v>
      </c>
      <c r="S3">
        <v>166</v>
      </c>
      <c r="T3">
        <v>74</v>
      </c>
      <c r="W3" t="s">
        <v>6</v>
      </c>
      <c r="X3">
        <f t="shared" ref="X3:X66" si="1">N3-O3</f>
        <v>41</v>
      </c>
      <c r="Y3">
        <f t="shared" ref="Y3:Y66" si="2">O3-P3</f>
        <v>66</v>
      </c>
      <c r="Z3">
        <f t="shared" ref="Z3:Z66" si="3">P3-Q3</f>
        <v>44</v>
      </c>
      <c r="AA3">
        <f t="shared" ref="AA3:AA66" si="4">Q3-R3</f>
        <v>48</v>
      </c>
      <c r="AB3">
        <f t="shared" ref="AB3:AB66" si="5">R3-S3</f>
        <v>68</v>
      </c>
      <c r="AC3">
        <f t="shared" ref="AC3:AC66" si="6">S3-T3</f>
        <v>92</v>
      </c>
      <c r="AD3">
        <f t="shared" ref="AD3:AD66" si="7">T3-U3</f>
        <v>74</v>
      </c>
    </row>
    <row r="4" spans="1:30" x14ac:dyDescent="0.2">
      <c r="A4" s="1">
        <v>2</v>
      </c>
      <c r="B4" t="s">
        <v>7</v>
      </c>
      <c r="C4" t="s">
        <v>8</v>
      </c>
      <c r="D4">
        <v>380</v>
      </c>
      <c r="E4">
        <f>VLOOKUP(C4,Week6!$A$2:$B$73,2,FALSE)</f>
        <v>317</v>
      </c>
      <c r="F4">
        <f>VLOOKUP(C4,Week5!$A$2:$B$67,2,FALSE)</f>
        <v>246</v>
      </c>
      <c r="G4">
        <f>VLOOKUP(C4,Week4!$A$2:$B$64,2,FALSE)</f>
        <v>194</v>
      </c>
      <c r="H4">
        <f>VLOOKUP(C4,Week3!$A$2:$B$61,2,FALSE)</f>
        <v>145</v>
      </c>
      <c r="I4">
        <f>VLOOKUP(C4,Week2!$A$2:$B$48,2,FALSE)</f>
        <v>97</v>
      </c>
      <c r="J4">
        <f>VLOOKUP(C4,Week1!$A$2:$B$31,2,FALSE)</f>
        <v>47</v>
      </c>
      <c r="M4" t="s">
        <v>8</v>
      </c>
      <c r="N4">
        <v>380</v>
      </c>
      <c r="O4">
        <v>317</v>
      </c>
      <c r="P4">
        <v>246</v>
      </c>
      <c r="Q4">
        <v>194</v>
      </c>
      <c r="R4">
        <v>145</v>
      </c>
      <c r="S4">
        <v>97</v>
      </c>
      <c r="T4">
        <v>47</v>
      </c>
      <c r="W4" t="s">
        <v>8</v>
      </c>
      <c r="X4">
        <f t="shared" si="1"/>
        <v>63</v>
      </c>
      <c r="Y4">
        <f t="shared" si="2"/>
        <v>71</v>
      </c>
      <c r="Z4">
        <f t="shared" si="3"/>
        <v>52</v>
      </c>
      <c r="AA4">
        <f t="shared" si="4"/>
        <v>49</v>
      </c>
      <c r="AB4">
        <f t="shared" si="5"/>
        <v>48</v>
      </c>
      <c r="AC4">
        <f t="shared" si="6"/>
        <v>50</v>
      </c>
      <c r="AD4">
        <f t="shared" si="7"/>
        <v>47</v>
      </c>
    </row>
    <row r="5" spans="1:30" x14ac:dyDescent="0.2">
      <c r="A5" s="1">
        <v>3</v>
      </c>
      <c r="B5" t="s">
        <v>9</v>
      </c>
      <c r="C5" t="s">
        <v>10</v>
      </c>
      <c r="D5">
        <v>211</v>
      </c>
      <c r="E5">
        <f>VLOOKUP(C5,Week6!$A$2:$B$73,2,FALSE)</f>
        <v>190</v>
      </c>
      <c r="F5">
        <f>VLOOKUP(C5,Week5!$A$2:$B$67,2,FALSE)</f>
        <v>137</v>
      </c>
      <c r="G5">
        <f>VLOOKUP(C5,Week4!$A$2:$B$64,2,FALSE)</f>
        <v>107</v>
      </c>
      <c r="H5">
        <f>VLOOKUP(C5,Week3!$A$2:$B$61,2,FALSE)</f>
        <v>86</v>
      </c>
      <c r="I5">
        <f>VLOOKUP(C5,Week2!$A$2:$B$48,2,FALSE)</f>
        <v>50</v>
      </c>
      <c r="J5">
        <f>VLOOKUP(C5,Week1!$A$2:$B$31,2,FALSE)</f>
        <v>35</v>
      </c>
      <c r="M5" t="s">
        <v>10</v>
      </c>
      <c r="N5">
        <v>211</v>
      </c>
      <c r="O5">
        <v>190</v>
      </c>
      <c r="P5">
        <v>137</v>
      </c>
      <c r="Q5">
        <v>107</v>
      </c>
      <c r="R5">
        <v>86</v>
      </c>
      <c r="S5">
        <v>50</v>
      </c>
      <c r="T5">
        <v>35</v>
      </c>
      <c r="W5" t="s">
        <v>10</v>
      </c>
      <c r="X5">
        <f t="shared" si="1"/>
        <v>21</v>
      </c>
      <c r="Y5">
        <f t="shared" si="2"/>
        <v>53</v>
      </c>
      <c r="Z5">
        <f t="shared" si="3"/>
        <v>30</v>
      </c>
      <c r="AA5">
        <f t="shared" si="4"/>
        <v>21</v>
      </c>
      <c r="AB5">
        <f t="shared" si="5"/>
        <v>36</v>
      </c>
      <c r="AC5">
        <f t="shared" si="6"/>
        <v>15</v>
      </c>
      <c r="AD5">
        <f t="shared" si="7"/>
        <v>35</v>
      </c>
    </row>
    <row r="6" spans="1:30" x14ac:dyDescent="0.2">
      <c r="A6" s="1">
        <v>4</v>
      </c>
      <c r="B6" t="s">
        <v>11</v>
      </c>
      <c r="C6" t="s">
        <v>12</v>
      </c>
      <c r="D6">
        <v>197</v>
      </c>
      <c r="E6">
        <f>VLOOKUP(C6,Week6!$A$2:$B$73,2,FALSE)</f>
        <v>166</v>
      </c>
      <c r="F6">
        <f>VLOOKUP(C6,Week5!$A$2:$B$67,2,FALSE)</f>
        <v>133</v>
      </c>
      <c r="G6">
        <f>VLOOKUP(C6,Week4!$A$2:$B$64,2,FALSE)</f>
        <v>112</v>
      </c>
      <c r="H6">
        <f>VLOOKUP(C6,Week3!$A$2:$B$61,2,FALSE)</f>
        <v>80</v>
      </c>
      <c r="I6">
        <f>VLOOKUP(C6,Week2!$A$2:$B$48,2,FALSE)</f>
        <v>51</v>
      </c>
      <c r="J6">
        <f>VLOOKUP(C6,Week1!$A$2:$B$31,2,FALSE)</f>
        <v>26</v>
      </c>
      <c r="M6" t="s">
        <v>12</v>
      </c>
      <c r="N6">
        <v>197</v>
      </c>
      <c r="O6">
        <v>166</v>
      </c>
      <c r="P6">
        <v>133</v>
      </c>
      <c r="Q6">
        <v>112</v>
      </c>
      <c r="R6">
        <v>80</v>
      </c>
      <c r="S6">
        <v>51</v>
      </c>
      <c r="T6">
        <v>26</v>
      </c>
      <c r="W6" t="s">
        <v>12</v>
      </c>
      <c r="X6">
        <f t="shared" si="1"/>
        <v>31</v>
      </c>
      <c r="Y6">
        <f t="shared" si="2"/>
        <v>33</v>
      </c>
      <c r="Z6">
        <f t="shared" si="3"/>
        <v>21</v>
      </c>
      <c r="AA6">
        <f t="shared" si="4"/>
        <v>32</v>
      </c>
      <c r="AB6">
        <f t="shared" si="5"/>
        <v>29</v>
      </c>
      <c r="AC6">
        <f t="shared" si="6"/>
        <v>25</v>
      </c>
      <c r="AD6">
        <f t="shared" si="7"/>
        <v>26</v>
      </c>
    </row>
    <row r="7" spans="1:30" x14ac:dyDescent="0.2">
      <c r="A7" s="1">
        <v>5</v>
      </c>
      <c r="B7" t="s">
        <v>13</v>
      </c>
      <c r="C7" t="s">
        <v>14</v>
      </c>
      <c r="D7">
        <v>84</v>
      </c>
      <c r="E7">
        <f>VLOOKUP(C7,Week6!$A$2:$B$73,2,FALSE)</f>
        <v>82</v>
      </c>
      <c r="F7">
        <f>VLOOKUP(C7,Week5!$A$2:$B$67,2,FALSE)</f>
        <v>80</v>
      </c>
      <c r="G7">
        <f>VLOOKUP(C7,Week4!$A$2:$B$64,2,FALSE)</f>
        <v>74</v>
      </c>
      <c r="H7">
        <f>VLOOKUP(C7,Week3!$A$2:$B$61,2,FALSE)</f>
        <v>55</v>
      </c>
      <c r="I7">
        <f>VLOOKUP(C7,Week2!$A$2:$B$48,2,FALSE)</f>
        <v>45</v>
      </c>
      <c r="J7">
        <f>VLOOKUP(C7,Week1!$A$2:$B$31,2,FALSE)</f>
        <v>26</v>
      </c>
      <c r="M7" t="s">
        <v>14</v>
      </c>
      <c r="N7">
        <v>84</v>
      </c>
      <c r="O7">
        <v>82</v>
      </c>
      <c r="P7">
        <v>80</v>
      </c>
      <c r="Q7">
        <v>74</v>
      </c>
      <c r="R7">
        <v>55</v>
      </c>
      <c r="S7">
        <v>45</v>
      </c>
      <c r="T7">
        <v>26</v>
      </c>
      <c r="W7" t="s">
        <v>14</v>
      </c>
      <c r="X7">
        <f t="shared" si="1"/>
        <v>2</v>
      </c>
      <c r="Y7">
        <f t="shared" si="2"/>
        <v>2</v>
      </c>
      <c r="Z7">
        <f t="shared" si="3"/>
        <v>6</v>
      </c>
      <c r="AA7">
        <f t="shared" si="4"/>
        <v>19</v>
      </c>
      <c r="AB7">
        <f t="shared" si="5"/>
        <v>10</v>
      </c>
      <c r="AC7">
        <f t="shared" si="6"/>
        <v>19</v>
      </c>
      <c r="AD7">
        <f t="shared" si="7"/>
        <v>26</v>
      </c>
    </row>
    <row r="8" spans="1:30" x14ac:dyDescent="0.2">
      <c r="A8" s="1">
        <v>6</v>
      </c>
      <c r="B8" t="s">
        <v>15</v>
      </c>
      <c r="C8" t="s">
        <v>16</v>
      </c>
      <c r="D8">
        <v>76</v>
      </c>
      <c r="E8">
        <f>VLOOKUP(C8,Week6!$A$2:$B$73,2,FALSE)</f>
        <v>72</v>
      </c>
      <c r="F8">
        <f>VLOOKUP(C8,Week5!$A$2:$B$67,2,FALSE)</f>
        <v>66</v>
      </c>
      <c r="G8">
        <f>VLOOKUP(C8,Week4!$A$2:$B$64,2,FALSE)</f>
        <v>62</v>
      </c>
      <c r="H8">
        <f>VLOOKUP(C8,Week3!$A$2:$B$61,2,FALSE)</f>
        <v>56</v>
      </c>
      <c r="I8">
        <f>VLOOKUP(C8,Week2!$A$2:$B$48,2,FALSE)</f>
        <v>42</v>
      </c>
      <c r="J8">
        <f>VLOOKUP(C8,Week1!$A$2:$B$31,2,FALSE)</f>
        <v>26</v>
      </c>
      <c r="M8" t="s">
        <v>16</v>
      </c>
      <c r="N8">
        <v>76</v>
      </c>
      <c r="O8">
        <v>72</v>
      </c>
      <c r="P8">
        <v>66</v>
      </c>
      <c r="Q8">
        <v>62</v>
      </c>
      <c r="R8">
        <v>56</v>
      </c>
      <c r="S8">
        <v>42</v>
      </c>
      <c r="T8">
        <v>26</v>
      </c>
      <c r="W8" t="s">
        <v>16</v>
      </c>
      <c r="X8">
        <f t="shared" si="1"/>
        <v>4</v>
      </c>
      <c r="Y8">
        <f t="shared" si="2"/>
        <v>6</v>
      </c>
      <c r="Z8">
        <f t="shared" si="3"/>
        <v>4</v>
      </c>
      <c r="AA8">
        <f t="shared" si="4"/>
        <v>6</v>
      </c>
      <c r="AB8">
        <f t="shared" si="5"/>
        <v>14</v>
      </c>
      <c r="AC8">
        <f t="shared" si="6"/>
        <v>16</v>
      </c>
      <c r="AD8">
        <f t="shared" si="7"/>
        <v>26</v>
      </c>
    </row>
    <row r="9" spans="1:30" x14ac:dyDescent="0.2">
      <c r="A9" s="1">
        <v>7</v>
      </c>
      <c r="B9" t="s">
        <v>17</v>
      </c>
      <c r="C9" t="s">
        <v>18</v>
      </c>
      <c r="D9">
        <v>62</v>
      </c>
      <c r="E9">
        <f>VLOOKUP(C9,Week6!$A$2:$B$73,2,FALSE)</f>
        <v>53</v>
      </c>
      <c r="F9">
        <f>VLOOKUP(C9,Week5!$A$2:$B$67,2,FALSE)</f>
        <v>47</v>
      </c>
      <c r="G9">
        <f>VLOOKUP(C9,Week4!$A$2:$B$64,2,FALSE)</f>
        <v>29</v>
      </c>
      <c r="H9">
        <f>VLOOKUP(C9,Week3!$A$2:$B$61,2,FALSE)</f>
        <v>19</v>
      </c>
      <c r="I9">
        <f>VLOOKUP(C9,Week2!$A$2:$B$48,2,FALSE)</f>
        <v>13</v>
      </c>
      <c r="J9">
        <f>VLOOKUP(C9,Week1!$A$2:$B$31,2,FALSE)</f>
        <v>13</v>
      </c>
      <c r="M9" t="s">
        <v>18</v>
      </c>
      <c r="N9">
        <v>62</v>
      </c>
      <c r="O9">
        <v>53</v>
      </c>
      <c r="P9">
        <v>47</v>
      </c>
      <c r="Q9">
        <v>29</v>
      </c>
      <c r="R9">
        <v>19</v>
      </c>
      <c r="S9">
        <v>13</v>
      </c>
      <c r="T9">
        <v>13</v>
      </c>
      <c r="W9" t="s">
        <v>18</v>
      </c>
      <c r="X9">
        <f t="shared" si="1"/>
        <v>9</v>
      </c>
      <c r="Y9">
        <f t="shared" si="2"/>
        <v>6</v>
      </c>
      <c r="Z9">
        <f t="shared" si="3"/>
        <v>18</v>
      </c>
      <c r="AA9">
        <f t="shared" si="4"/>
        <v>10</v>
      </c>
      <c r="AB9">
        <f t="shared" si="5"/>
        <v>6</v>
      </c>
      <c r="AC9">
        <f t="shared" si="6"/>
        <v>0</v>
      </c>
      <c r="AD9">
        <f t="shared" si="7"/>
        <v>13</v>
      </c>
    </row>
    <row r="10" spans="1:30" x14ac:dyDescent="0.2">
      <c r="A10" s="1">
        <v>8</v>
      </c>
      <c r="B10" t="s">
        <v>19</v>
      </c>
      <c r="C10" t="s">
        <v>20</v>
      </c>
      <c r="D10">
        <v>60</v>
      </c>
      <c r="E10">
        <f>VLOOKUP(C10,Week6!$A$2:$B$73,2,FALSE)</f>
        <v>46</v>
      </c>
      <c r="F10">
        <f>VLOOKUP(C10,Week5!$A$2:$B$67,2,FALSE)</f>
        <v>37</v>
      </c>
      <c r="G10">
        <f>VLOOKUP(C10,Week4!$A$2:$B$64,2,FALSE)</f>
        <v>35</v>
      </c>
      <c r="H10">
        <f>VLOOKUP(C10,Week3!$A$2:$B$61,2,FALSE)</f>
        <v>31</v>
      </c>
      <c r="I10">
        <f>VLOOKUP(C10,Week2!$A$2:$B$48,2,FALSE)</f>
        <v>24</v>
      </c>
      <c r="J10">
        <f>VLOOKUP(C10,Week1!$A$2:$B$31,2,FALSE)</f>
        <v>12</v>
      </c>
      <c r="M10" t="s">
        <v>20</v>
      </c>
      <c r="N10">
        <v>60</v>
      </c>
      <c r="O10">
        <v>46</v>
      </c>
      <c r="P10">
        <v>37</v>
      </c>
      <c r="Q10">
        <v>35</v>
      </c>
      <c r="R10">
        <v>31</v>
      </c>
      <c r="S10">
        <v>24</v>
      </c>
      <c r="T10">
        <v>12</v>
      </c>
      <c r="W10" t="s">
        <v>20</v>
      </c>
      <c r="X10">
        <f t="shared" si="1"/>
        <v>14</v>
      </c>
      <c r="Y10">
        <f t="shared" si="2"/>
        <v>9</v>
      </c>
      <c r="Z10">
        <f t="shared" si="3"/>
        <v>2</v>
      </c>
      <c r="AA10">
        <f t="shared" si="4"/>
        <v>4</v>
      </c>
      <c r="AB10">
        <f t="shared" si="5"/>
        <v>7</v>
      </c>
      <c r="AC10">
        <f t="shared" si="6"/>
        <v>12</v>
      </c>
      <c r="AD10">
        <f t="shared" si="7"/>
        <v>12</v>
      </c>
    </row>
    <row r="11" spans="1:30" x14ac:dyDescent="0.2">
      <c r="A11" s="1">
        <v>9</v>
      </c>
      <c r="B11" t="s">
        <v>21</v>
      </c>
      <c r="C11" t="s">
        <v>22</v>
      </c>
      <c r="D11">
        <v>56</v>
      </c>
      <c r="E11">
        <f>VLOOKUP(C11,Week6!$A$2:$B$73,2,FALSE)</f>
        <v>52</v>
      </c>
      <c r="F11">
        <f>VLOOKUP(C11,Week5!$A$2:$B$67,2,FALSE)</f>
        <v>38</v>
      </c>
      <c r="G11">
        <f>VLOOKUP(C11,Week4!$A$2:$B$64,2,FALSE)</f>
        <v>34</v>
      </c>
      <c r="H11">
        <f>VLOOKUP(C11,Week3!$A$2:$B$61,2,FALSE)</f>
        <v>29</v>
      </c>
      <c r="I11">
        <f>VLOOKUP(C11,Week2!$A$2:$B$48,2,FALSE)</f>
        <v>6</v>
      </c>
      <c r="J11">
        <f>VLOOKUP(C11,Week1!$A$2:$B$31,2,FALSE)</f>
        <v>5</v>
      </c>
      <c r="M11" t="s">
        <v>22</v>
      </c>
      <c r="N11">
        <v>56</v>
      </c>
      <c r="O11">
        <v>52</v>
      </c>
      <c r="P11">
        <v>38</v>
      </c>
      <c r="Q11">
        <v>34</v>
      </c>
      <c r="R11">
        <v>29</v>
      </c>
      <c r="S11">
        <v>6</v>
      </c>
      <c r="T11">
        <v>5</v>
      </c>
      <c r="W11" t="s">
        <v>22</v>
      </c>
      <c r="X11">
        <f t="shared" si="1"/>
        <v>4</v>
      </c>
      <c r="Y11">
        <f t="shared" si="2"/>
        <v>14</v>
      </c>
      <c r="Z11">
        <f t="shared" si="3"/>
        <v>4</v>
      </c>
      <c r="AA11">
        <f t="shared" si="4"/>
        <v>5</v>
      </c>
      <c r="AB11">
        <f t="shared" si="5"/>
        <v>23</v>
      </c>
      <c r="AC11">
        <f t="shared" si="6"/>
        <v>1</v>
      </c>
      <c r="AD11">
        <f t="shared" si="7"/>
        <v>5</v>
      </c>
    </row>
    <row r="12" spans="1:30" x14ac:dyDescent="0.2">
      <c r="A12" s="1">
        <v>10</v>
      </c>
      <c r="B12" t="s">
        <v>23</v>
      </c>
      <c r="C12" t="s">
        <v>24</v>
      </c>
      <c r="D12">
        <v>53</v>
      </c>
      <c r="E12">
        <f>VLOOKUP(C12,Week6!$A$2:$B$73,2,FALSE)</f>
        <v>48</v>
      </c>
      <c r="F12">
        <f>VLOOKUP(C12,Week5!$A$2:$B$67,2,FALSE)</f>
        <v>30</v>
      </c>
      <c r="G12">
        <f>VLOOKUP(C12,Week4!$A$2:$B$64,2,FALSE)</f>
        <v>18</v>
      </c>
      <c r="H12">
        <f>VLOOKUP(C12,Week3!$A$2:$B$61,2,FALSE)</f>
        <v>9</v>
      </c>
      <c r="I12">
        <f>VLOOKUP(C12,Week2!$A$2:$B$48,2,FALSE)</f>
        <v>6</v>
      </c>
      <c r="J12" t="e">
        <f>VLOOKUP(C12,Week1!$A$2:$B$31,2,FALSE)</f>
        <v>#N/A</v>
      </c>
      <c r="M12" t="s">
        <v>24</v>
      </c>
      <c r="N12">
        <v>53</v>
      </c>
      <c r="O12">
        <v>48</v>
      </c>
      <c r="P12">
        <v>30</v>
      </c>
      <c r="Q12">
        <v>18</v>
      </c>
      <c r="R12">
        <v>9</v>
      </c>
      <c r="S12">
        <v>6</v>
      </c>
      <c r="T12">
        <v>0</v>
      </c>
      <c r="W12" t="s">
        <v>24</v>
      </c>
      <c r="X12">
        <f t="shared" si="1"/>
        <v>5</v>
      </c>
      <c r="Y12">
        <f t="shared" si="2"/>
        <v>18</v>
      </c>
      <c r="Z12">
        <f t="shared" si="3"/>
        <v>12</v>
      </c>
      <c r="AA12">
        <f t="shared" si="4"/>
        <v>9</v>
      </c>
      <c r="AB12">
        <f t="shared" si="5"/>
        <v>3</v>
      </c>
      <c r="AC12">
        <f t="shared" si="6"/>
        <v>6</v>
      </c>
      <c r="AD12">
        <f t="shared" si="7"/>
        <v>0</v>
      </c>
    </row>
    <row r="13" spans="1:30" x14ac:dyDescent="0.2">
      <c r="A13" s="1">
        <v>11</v>
      </c>
      <c r="B13" t="s">
        <v>25</v>
      </c>
      <c r="C13" t="s">
        <v>26</v>
      </c>
      <c r="D13">
        <v>37</v>
      </c>
      <c r="E13">
        <f>VLOOKUP(C13,Week6!$A$2:$B$73,2,FALSE)</f>
        <v>20</v>
      </c>
      <c r="F13">
        <f>VLOOKUP(C13,Week5!$A$2:$B$67,2,FALSE)</f>
        <v>19</v>
      </c>
      <c r="G13">
        <f>VLOOKUP(C13,Week4!$A$2:$B$64,2,FALSE)</f>
        <v>16</v>
      </c>
      <c r="H13">
        <f>VLOOKUP(C13,Week3!$A$2:$B$61,2,FALSE)</f>
        <v>9</v>
      </c>
      <c r="I13">
        <f>VLOOKUP(C13,Week2!$A$2:$B$48,2,FALSE)</f>
        <v>4</v>
      </c>
      <c r="J13" t="e">
        <f>VLOOKUP(C13,Week1!$A$2:$B$31,2,FALSE)</f>
        <v>#N/A</v>
      </c>
      <c r="M13" t="s">
        <v>26</v>
      </c>
      <c r="N13">
        <v>37</v>
      </c>
      <c r="O13">
        <v>20</v>
      </c>
      <c r="P13">
        <v>19</v>
      </c>
      <c r="Q13">
        <v>16</v>
      </c>
      <c r="R13">
        <v>9</v>
      </c>
      <c r="S13">
        <v>4</v>
      </c>
      <c r="T13">
        <v>0</v>
      </c>
      <c r="W13" t="s">
        <v>26</v>
      </c>
      <c r="X13">
        <f t="shared" si="1"/>
        <v>17</v>
      </c>
      <c r="Y13">
        <f t="shared" si="2"/>
        <v>1</v>
      </c>
      <c r="Z13">
        <f t="shared" si="3"/>
        <v>3</v>
      </c>
      <c r="AA13">
        <f t="shared" si="4"/>
        <v>7</v>
      </c>
      <c r="AB13">
        <f t="shared" si="5"/>
        <v>5</v>
      </c>
      <c r="AC13">
        <f t="shared" si="6"/>
        <v>4</v>
      </c>
      <c r="AD13">
        <f t="shared" si="7"/>
        <v>0</v>
      </c>
    </row>
    <row r="14" spans="1:30" x14ac:dyDescent="0.2">
      <c r="A14" s="1">
        <v>12</v>
      </c>
      <c r="B14" t="s">
        <v>27</v>
      </c>
      <c r="C14" t="s">
        <v>28</v>
      </c>
      <c r="D14">
        <v>31</v>
      </c>
      <c r="E14">
        <f>VLOOKUP(C14,Week6!$A$2:$B$73,2,FALSE)</f>
        <v>20</v>
      </c>
      <c r="F14">
        <f>VLOOKUP(C14,Week5!$A$2:$B$67,2,FALSE)</f>
        <v>16</v>
      </c>
      <c r="G14">
        <f>VLOOKUP(C14,Week4!$A$2:$B$64,2,FALSE)</f>
        <v>14</v>
      </c>
      <c r="H14">
        <f>VLOOKUP(C14,Week3!$A$2:$B$61,2,FALSE)</f>
        <v>13</v>
      </c>
      <c r="I14">
        <f>VLOOKUP(C14,Week2!$A$2:$B$48,2,FALSE)</f>
        <v>11</v>
      </c>
      <c r="J14">
        <f>VLOOKUP(C14,Week1!$A$2:$B$31,2,FALSE)</f>
        <v>2</v>
      </c>
      <c r="M14" t="s">
        <v>28</v>
      </c>
      <c r="N14">
        <v>31</v>
      </c>
      <c r="O14">
        <v>20</v>
      </c>
      <c r="P14">
        <v>16</v>
      </c>
      <c r="Q14">
        <v>14</v>
      </c>
      <c r="R14">
        <v>13</v>
      </c>
      <c r="S14">
        <v>11</v>
      </c>
      <c r="T14">
        <v>2</v>
      </c>
      <c r="W14" t="s">
        <v>28</v>
      </c>
      <c r="X14">
        <f t="shared" si="1"/>
        <v>11</v>
      </c>
      <c r="Y14">
        <f t="shared" si="2"/>
        <v>4</v>
      </c>
      <c r="Z14">
        <f t="shared" si="3"/>
        <v>2</v>
      </c>
      <c r="AA14">
        <f t="shared" si="4"/>
        <v>1</v>
      </c>
      <c r="AB14">
        <f t="shared" si="5"/>
        <v>2</v>
      </c>
      <c r="AC14">
        <f t="shared" si="6"/>
        <v>9</v>
      </c>
      <c r="AD14">
        <f t="shared" si="7"/>
        <v>2</v>
      </c>
    </row>
    <row r="15" spans="1:30" x14ac:dyDescent="0.2">
      <c r="A15" s="1">
        <v>13</v>
      </c>
      <c r="B15" t="s">
        <v>29</v>
      </c>
      <c r="C15" t="s">
        <v>30</v>
      </c>
      <c r="D15">
        <v>30</v>
      </c>
      <c r="E15">
        <f>VLOOKUP(C15,Week6!$A$2:$B$73,2,FALSE)</f>
        <v>26</v>
      </c>
      <c r="F15">
        <f>VLOOKUP(C15,Week5!$A$2:$B$67,2,FALSE)</f>
        <v>26</v>
      </c>
      <c r="G15">
        <f>VLOOKUP(C15,Week4!$A$2:$B$64,2,FALSE)</f>
        <v>26</v>
      </c>
      <c r="H15">
        <f>VLOOKUP(C15,Week3!$A$2:$B$61,2,FALSE)</f>
        <v>26</v>
      </c>
      <c r="I15">
        <f>VLOOKUP(C15,Week2!$A$2:$B$48,2,FALSE)</f>
        <v>25</v>
      </c>
      <c r="J15">
        <f>VLOOKUP(C15,Week1!$A$2:$B$31,2,FALSE)</f>
        <v>9</v>
      </c>
      <c r="M15" t="s">
        <v>30</v>
      </c>
      <c r="N15">
        <v>30</v>
      </c>
      <c r="O15">
        <v>26</v>
      </c>
      <c r="P15">
        <v>26</v>
      </c>
      <c r="Q15">
        <v>26</v>
      </c>
      <c r="R15">
        <v>26</v>
      </c>
      <c r="S15">
        <v>25</v>
      </c>
      <c r="T15">
        <v>9</v>
      </c>
      <c r="W15" t="s">
        <v>30</v>
      </c>
      <c r="X15">
        <f t="shared" si="1"/>
        <v>4</v>
      </c>
      <c r="Y15">
        <f t="shared" si="2"/>
        <v>0</v>
      </c>
      <c r="Z15">
        <f t="shared" si="3"/>
        <v>0</v>
      </c>
      <c r="AA15">
        <f t="shared" si="4"/>
        <v>0</v>
      </c>
      <c r="AB15">
        <f t="shared" si="5"/>
        <v>1</v>
      </c>
      <c r="AC15">
        <f t="shared" si="6"/>
        <v>16</v>
      </c>
      <c r="AD15">
        <f t="shared" si="7"/>
        <v>9</v>
      </c>
    </row>
    <row r="16" spans="1:30" x14ac:dyDescent="0.2">
      <c r="A16" s="1">
        <v>14</v>
      </c>
      <c r="B16" t="s">
        <v>31</v>
      </c>
      <c r="C16" t="s">
        <v>32</v>
      </c>
      <c r="D16">
        <v>28</v>
      </c>
      <c r="E16">
        <f>VLOOKUP(C16,Week6!$A$2:$B$73,2,FALSE)</f>
        <v>28</v>
      </c>
      <c r="F16">
        <f>VLOOKUP(C16,Week5!$A$2:$B$67,2,FALSE)</f>
        <v>28</v>
      </c>
      <c r="G16">
        <f>VLOOKUP(C16,Week4!$A$2:$B$64,2,FALSE)</f>
        <v>26</v>
      </c>
      <c r="H16">
        <f>VLOOKUP(C16,Week3!$A$2:$B$61,2,FALSE)</f>
        <v>23</v>
      </c>
      <c r="I16">
        <f>VLOOKUP(C16,Week2!$A$2:$B$48,2,FALSE)</f>
        <v>23</v>
      </c>
      <c r="J16">
        <f>VLOOKUP(C16,Week1!$A$2:$B$31,2,FALSE)</f>
        <v>19</v>
      </c>
      <c r="M16" t="s">
        <v>32</v>
      </c>
      <c r="N16">
        <v>28</v>
      </c>
      <c r="O16">
        <v>28</v>
      </c>
      <c r="P16">
        <v>28</v>
      </c>
      <c r="Q16">
        <v>26</v>
      </c>
      <c r="R16">
        <v>23</v>
      </c>
      <c r="S16">
        <v>23</v>
      </c>
      <c r="T16">
        <v>19</v>
      </c>
      <c r="W16" t="s">
        <v>32</v>
      </c>
      <c r="X16">
        <f t="shared" si="1"/>
        <v>0</v>
      </c>
      <c r="Y16">
        <f t="shared" si="2"/>
        <v>0</v>
      </c>
      <c r="Z16">
        <f t="shared" si="3"/>
        <v>2</v>
      </c>
      <c r="AA16">
        <f t="shared" si="4"/>
        <v>3</v>
      </c>
      <c r="AB16">
        <f t="shared" si="5"/>
        <v>0</v>
      </c>
      <c r="AC16">
        <f t="shared" si="6"/>
        <v>4</v>
      </c>
      <c r="AD16">
        <f t="shared" si="7"/>
        <v>19</v>
      </c>
    </row>
    <row r="17" spans="1:30" x14ac:dyDescent="0.2">
      <c r="A17" s="1">
        <v>15</v>
      </c>
      <c r="B17" t="s">
        <v>33</v>
      </c>
      <c r="C17" t="s">
        <v>34</v>
      </c>
      <c r="D17">
        <v>27</v>
      </c>
      <c r="E17">
        <f>VLOOKUP(C17,Week6!$A$2:$B$73,2,FALSE)</f>
        <v>20</v>
      </c>
      <c r="F17">
        <f>VLOOKUP(C17,Week5!$A$2:$B$67,2,FALSE)</f>
        <v>16</v>
      </c>
      <c r="G17">
        <f>VLOOKUP(C17,Week4!$A$2:$B$64,2,FALSE)</f>
        <v>12</v>
      </c>
      <c r="H17">
        <f>VLOOKUP(C17,Week3!$A$2:$B$61,2,FALSE)</f>
        <v>7</v>
      </c>
      <c r="I17">
        <f>VLOOKUP(C17,Week2!$A$2:$B$48,2,FALSE)</f>
        <v>5</v>
      </c>
      <c r="J17" t="e">
        <f>VLOOKUP(C17,Week1!$A$2:$B$31,2,FALSE)</f>
        <v>#N/A</v>
      </c>
      <c r="M17" t="s">
        <v>34</v>
      </c>
      <c r="N17">
        <v>27</v>
      </c>
      <c r="O17">
        <v>20</v>
      </c>
      <c r="P17">
        <v>16</v>
      </c>
      <c r="Q17">
        <v>12</v>
      </c>
      <c r="R17">
        <v>7</v>
      </c>
      <c r="S17">
        <v>5</v>
      </c>
      <c r="T17">
        <v>0</v>
      </c>
      <c r="W17" t="s">
        <v>34</v>
      </c>
      <c r="X17">
        <f t="shared" si="1"/>
        <v>7</v>
      </c>
      <c r="Y17">
        <f t="shared" si="2"/>
        <v>4</v>
      </c>
      <c r="Z17">
        <f t="shared" si="3"/>
        <v>4</v>
      </c>
      <c r="AA17">
        <f t="shared" si="4"/>
        <v>5</v>
      </c>
      <c r="AB17">
        <f t="shared" si="5"/>
        <v>2</v>
      </c>
      <c r="AC17">
        <f t="shared" si="6"/>
        <v>5</v>
      </c>
      <c r="AD17">
        <f t="shared" si="7"/>
        <v>0</v>
      </c>
    </row>
    <row r="18" spans="1:30" x14ac:dyDescent="0.2">
      <c r="A18" s="1">
        <v>16</v>
      </c>
      <c r="B18" t="s">
        <v>35</v>
      </c>
      <c r="C18" t="s">
        <v>36</v>
      </c>
      <c r="D18">
        <v>22</v>
      </c>
      <c r="E18">
        <f>VLOOKUP(C18,Week6!$A$2:$B$73,2,FALSE)</f>
        <v>22</v>
      </c>
      <c r="F18">
        <f>VLOOKUP(C18,Week5!$A$2:$B$67,2,FALSE)</f>
        <v>11</v>
      </c>
      <c r="G18">
        <f>VLOOKUP(C18,Week4!$A$2:$B$64,2,FALSE)</f>
        <v>11</v>
      </c>
      <c r="H18">
        <f>VLOOKUP(C18,Week3!$A$2:$B$61,2,FALSE)</f>
        <v>9</v>
      </c>
      <c r="I18">
        <f>VLOOKUP(C18,Week2!$A$2:$B$48,2,FALSE)</f>
        <v>9</v>
      </c>
      <c r="J18">
        <f>VLOOKUP(C18,Week1!$A$2:$B$31,2,FALSE)</f>
        <v>9</v>
      </c>
      <c r="M18" t="s">
        <v>36</v>
      </c>
      <c r="N18">
        <v>22</v>
      </c>
      <c r="O18">
        <v>22</v>
      </c>
      <c r="P18">
        <v>11</v>
      </c>
      <c r="Q18">
        <v>11</v>
      </c>
      <c r="R18">
        <v>9</v>
      </c>
      <c r="S18">
        <v>9</v>
      </c>
      <c r="T18">
        <v>9</v>
      </c>
      <c r="W18" t="s">
        <v>36</v>
      </c>
      <c r="X18">
        <f t="shared" si="1"/>
        <v>0</v>
      </c>
      <c r="Y18">
        <f t="shared" si="2"/>
        <v>11</v>
      </c>
      <c r="Z18">
        <f t="shared" si="3"/>
        <v>0</v>
      </c>
      <c r="AA18">
        <f t="shared" si="4"/>
        <v>2</v>
      </c>
      <c r="AB18">
        <f t="shared" si="5"/>
        <v>0</v>
      </c>
      <c r="AC18">
        <f t="shared" si="6"/>
        <v>0</v>
      </c>
      <c r="AD18">
        <f t="shared" si="7"/>
        <v>9</v>
      </c>
    </row>
    <row r="19" spans="1:30" x14ac:dyDescent="0.2">
      <c r="A19" s="1">
        <v>17</v>
      </c>
      <c r="B19" t="s">
        <v>37</v>
      </c>
      <c r="C19" t="s">
        <v>38</v>
      </c>
      <c r="D19">
        <v>22</v>
      </c>
      <c r="E19">
        <f>VLOOKUP(C19,Week6!$A$2:$B$73,2,FALSE)</f>
        <v>22</v>
      </c>
      <c r="F19">
        <f>VLOOKUP(C19,Week5!$A$2:$B$67,2,FALSE)</f>
        <v>21</v>
      </c>
      <c r="G19">
        <f>VLOOKUP(C19,Week4!$A$2:$B$64,2,FALSE)</f>
        <v>18</v>
      </c>
      <c r="H19">
        <f>VLOOKUP(C19,Week3!$A$2:$B$61,2,FALSE)</f>
        <v>17</v>
      </c>
      <c r="I19">
        <f>VLOOKUP(C19,Week2!$A$2:$B$48,2,FALSE)</f>
        <v>17</v>
      </c>
      <c r="J19">
        <f>VLOOKUP(C19,Week1!$A$2:$B$31,2,FALSE)</f>
        <v>13</v>
      </c>
      <c r="M19" t="s">
        <v>38</v>
      </c>
      <c r="N19">
        <v>22</v>
      </c>
      <c r="O19">
        <v>22</v>
      </c>
      <c r="P19">
        <v>21</v>
      </c>
      <c r="Q19">
        <v>18</v>
      </c>
      <c r="R19">
        <v>17</v>
      </c>
      <c r="S19">
        <v>17</v>
      </c>
      <c r="T19">
        <v>13</v>
      </c>
      <c r="W19" t="s">
        <v>38</v>
      </c>
      <c r="X19">
        <f t="shared" si="1"/>
        <v>0</v>
      </c>
      <c r="Y19">
        <f t="shared" si="2"/>
        <v>1</v>
      </c>
      <c r="Z19">
        <f t="shared" si="3"/>
        <v>3</v>
      </c>
      <c r="AA19">
        <f t="shared" si="4"/>
        <v>1</v>
      </c>
      <c r="AB19">
        <f t="shared" si="5"/>
        <v>0</v>
      </c>
      <c r="AC19">
        <f t="shared" si="6"/>
        <v>4</v>
      </c>
      <c r="AD19">
        <f t="shared" si="7"/>
        <v>13</v>
      </c>
    </row>
    <row r="20" spans="1:30" x14ac:dyDescent="0.2">
      <c r="A20" s="1">
        <v>18</v>
      </c>
      <c r="B20" t="s">
        <v>39</v>
      </c>
      <c r="C20" t="s">
        <v>40</v>
      </c>
      <c r="D20">
        <v>17</v>
      </c>
      <c r="E20">
        <f>VLOOKUP(C20,Week6!$A$2:$B$73,2,FALSE)</f>
        <v>11</v>
      </c>
      <c r="F20">
        <f>VLOOKUP(C20,Week5!$A$2:$B$67,2,FALSE)</f>
        <v>10</v>
      </c>
      <c r="G20">
        <f>VLOOKUP(C20,Week4!$A$2:$B$64,2,FALSE)</f>
        <v>5</v>
      </c>
      <c r="H20">
        <f>VLOOKUP(C20,Week3!$A$2:$B$61,2,FALSE)</f>
        <v>3</v>
      </c>
      <c r="I20">
        <f>VLOOKUP(C20,Week2!$A$2:$B$48,2,FALSE)</f>
        <v>2</v>
      </c>
      <c r="J20">
        <f>VLOOKUP(C20,Week1!$A$2:$B$31,2,FALSE)</f>
        <v>2</v>
      </c>
      <c r="M20" t="s">
        <v>40</v>
      </c>
      <c r="N20">
        <v>17</v>
      </c>
      <c r="O20">
        <v>11</v>
      </c>
      <c r="P20">
        <v>10</v>
      </c>
      <c r="Q20">
        <v>5</v>
      </c>
      <c r="R20">
        <v>3</v>
      </c>
      <c r="S20">
        <v>2</v>
      </c>
      <c r="T20">
        <v>2</v>
      </c>
      <c r="W20" t="s">
        <v>40</v>
      </c>
      <c r="X20">
        <f t="shared" si="1"/>
        <v>6</v>
      </c>
      <c r="Y20">
        <f t="shared" si="2"/>
        <v>1</v>
      </c>
      <c r="Z20">
        <f t="shared" si="3"/>
        <v>5</v>
      </c>
      <c r="AA20">
        <f t="shared" si="4"/>
        <v>2</v>
      </c>
      <c r="AB20">
        <f t="shared" si="5"/>
        <v>1</v>
      </c>
      <c r="AC20">
        <f t="shared" si="6"/>
        <v>0</v>
      </c>
      <c r="AD20">
        <f t="shared" si="7"/>
        <v>2</v>
      </c>
    </row>
    <row r="21" spans="1:30" x14ac:dyDescent="0.2">
      <c r="A21" s="1">
        <v>19</v>
      </c>
      <c r="B21" t="s">
        <v>41</v>
      </c>
      <c r="C21" t="s">
        <v>42</v>
      </c>
      <c r="D21">
        <v>16</v>
      </c>
      <c r="E21">
        <f>VLOOKUP(C21,Week6!$A$2:$B$73,2,FALSE)</f>
        <v>16</v>
      </c>
      <c r="F21">
        <f>VLOOKUP(C21,Week5!$A$2:$B$67,2,FALSE)</f>
        <v>16</v>
      </c>
      <c r="G21">
        <f>VLOOKUP(C21,Week4!$A$2:$B$64,2,FALSE)</f>
        <v>13</v>
      </c>
      <c r="H21">
        <f>VLOOKUP(C21,Week3!$A$2:$B$61,2,FALSE)</f>
        <v>13</v>
      </c>
      <c r="I21">
        <f>VLOOKUP(C21,Week2!$A$2:$B$48,2,FALSE)</f>
        <v>13</v>
      </c>
      <c r="J21">
        <f>VLOOKUP(C21,Week1!$A$2:$B$31,2,FALSE)</f>
        <v>10</v>
      </c>
      <c r="M21" t="s">
        <v>42</v>
      </c>
      <c r="N21">
        <v>16</v>
      </c>
      <c r="O21">
        <v>16</v>
      </c>
      <c r="P21">
        <v>16</v>
      </c>
      <c r="Q21">
        <v>13</v>
      </c>
      <c r="R21">
        <v>13</v>
      </c>
      <c r="S21">
        <v>13</v>
      </c>
      <c r="T21">
        <v>10</v>
      </c>
      <c r="W21" t="s">
        <v>42</v>
      </c>
      <c r="X21">
        <f t="shared" si="1"/>
        <v>0</v>
      </c>
      <c r="Y21">
        <f t="shared" si="2"/>
        <v>0</v>
      </c>
      <c r="Z21">
        <f t="shared" si="3"/>
        <v>3</v>
      </c>
      <c r="AA21">
        <f t="shared" si="4"/>
        <v>0</v>
      </c>
      <c r="AB21">
        <f t="shared" si="5"/>
        <v>0</v>
      </c>
      <c r="AC21">
        <f t="shared" si="6"/>
        <v>3</v>
      </c>
      <c r="AD21">
        <f t="shared" si="7"/>
        <v>10</v>
      </c>
    </row>
    <row r="22" spans="1:30" x14ac:dyDescent="0.2">
      <c r="A22" s="1">
        <v>20</v>
      </c>
      <c r="B22" t="s">
        <v>43</v>
      </c>
      <c r="C22" t="s">
        <v>44</v>
      </c>
      <c r="D22">
        <v>15</v>
      </c>
      <c r="E22">
        <f>VLOOKUP(C22,Week6!$A$2:$B$73,2,FALSE)</f>
        <v>15</v>
      </c>
      <c r="F22">
        <f>VLOOKUP(C22,Week5!$A$2:$B$67,2,FALSE)</f>
        <v>9</v>
      </c>
      <c r="G22">
        <f>VLOOKUP(C22,Week4!$A$2:$B$64,2,FALSE)</f>
        <v>8</v>
      </c>
      <c r="H22">
        <f>VLOOKUP(C22,Week3!$A$2:$B$61,2,FALSE)</f>
        <v>6</v>
      </c>
      <c r="I22">
        <f>VLOOKUP(C22,Week2!$A$2:$B$48,2,FALSE)</f>
        <v>4</v>
      </c>
      <c r="J22">
        <f>VLOOKUP(C22,Week1!$A$2:$B$31,2,FALSE)</f>
        <v>2</v>
      </c>
      <c r="M22" t="s">
        <v>44</v>
      </c>
      <c r="N22">
        <v>15</v>
      </c>
      <c r="O22">
        <v>15</v>
      </c>
      <c r="P22">
        <v>9</v>
      </c>
      <c r="Q22">
        <v>8</v>
      </c>
      <c r="R22">
        <v>6</v>
      </c>
      <c r="S22">
        <v>4</v>
      </c>
      <c r="T22">
        <v>2</v>
      </c>
      <c r="W22" t="s">
        <v>44</v>
      </c>
      <c r="X22">
        <f t="shared" si="1"/>
        <v>0</v>
      </c>
      <c r="Y22">
        <f t="shared" si="2"/>
        <v>6</v>
      </c>
      <c r="Z22">
        <f t="shared" si="3"/>
        <v>1</v>
      </c>
      <c r="AA22">
        <f t="shared" si="4"/>
        <v>2</v>
      </c>
      <c r="AB22">
        <f t="shared" si="5"/>
        <v>2</v>
      </c>
      <c r="AC22">
        <f t="shared" si="6"/>
        <v>2</v>
      </c>
      <c r="AD22">
        <f t="shared" si="7"/>
        <v>2</v>
      </c>
    </row>
    <row r="23" spans="1:30" x14ac:dyDescent="0.2">
      <c r="A23" s="1">
        <v>21</v>
      </c>
      <c r="B23" t="s">
        <v>45</v>
      </c>
      <c r="C23" t="s">
        <v>46</v>
      </c>
      <c r="D23">
        <v>12</v>
      </c>
      <c r="E23">
        <f>VLOOKUP(C23,Week6!$A$2:$B$73,2,FALSE)</f>
        <v>9</v>
      </c>
      <c r="F23">
        <f>VLOOKUP(C23,Week5!$A$2:$B$67,2,FALSE)</f>
        <v>9</v>
      </c>
      <c r="G23">
        <f>VLOOKUP(C23,Week4!$A$2:$B$64,2,FALSE)</f>
        <v>9</v>
      </c>
      <c r="H23">
        <f>VLOOKUP(C23,Week3!$A$2:$B$61,2,FALSE)</f>
        <v>9</v>
      </c>
      <c r="I23">
        <f>VLOOKUP(C23,Week2!$A$2:$B$48,2,FALSE)</f>
        <v>8</v>
      </c>
      <c r="J23">
        <f>VLOOKUP(C23,Week1!$A$2:$B$31,2,FALSE)</f>
        <v>6</v>
      </c>
      <c r="M23" t="s">
        <v>46</v>
      </c>
      <c r="N23">
        <v>12</v>
      </c>
      <c r="O23">
        <v>9</v>
      </c>
      <c r="P23">
        <v>9</v>
      </c>
      <c r="Q23">
        <v>9</v>
      </c>
      <c r="R23">
        <v>9</v>
      </c>
      <c r="S23">
        <v>8</v>
      </c>
      <c r="T23">
        <v>6</v>
      </c>
      <c r="W23" t="s">
        <v>46</v>
      </c>
      <c r="X23">
        <f t="shared" si="1"/>
        <v>3</v>
      </c>
      <c r="Y23">
        <f t="shared" si="2"/>
        <v>0</v>
      </c>
      <c r="Z23">
        <f t="shared" si="3"/>
        <v>0</v>
      </c>
      <c r="AA23">
        <f t="shared" si="4"/>
        <v>0</v>
      </c>
      <c r="AB23">
        <f t="shared" si="5"/>
        <v>1</v>
      </c>
      <c r="AC23">
        <f t="shared" si="6"/>
        <v>2</v>
      </c>
      <c r="AD23">
        <f t="shared" si="7"/>
        <v>6</v>
      </c>
    </row>
    <row r="24" spans="1:30" x14ac:dyDescent="0.2">
      <c r="A24" s="1">
        <v>22</v>
      </c>
      <c r="B24" t="s">
        <v>47</v>
      </c>
      <c r="C24" t="s">
        <v>48</v>
      </c>
      <c r="D24">
        <v>11</v>
      </c>
      <c r="E24">
        <f>VLOOKUP(C24,Week6!$A$2:$B$73,2,FALSE)</f>
        <v>11</v>
      </c>
      <c r="F24">
        <f>VLOOKUP(C24,Week5!$A$2:$B$67,2,FALSE)</f>
        <v>10</v>
      </c>
      <c r="G24">
        <f>VLOOKUP(C24,Week4!$A$2:$B$64,2,FALSE)</f>
        <v>5</v>
      </c>
      <c r="H24">
        <f>VLOOKUP(C24,Week3!$A$2:$B$61,2,FALSE)</f>
        <v>5</v>
      </c>
      <c r="I24" t="e">
        <f>VLOOKUP(C24,Week2!$A$2:$B$48,2,FALSE)</f>
        <v>#N/A</v>
      </c>
      <c r="J24" t="e">
        <f>VLOOKUP(C24,Week1!$A$2:$B$31,2,FALSE)</f>
        <v>#N/A</v>
      </c>
      <c r="M24" t="s">
        <v>48</v>
      </c>
      <c r="N24">
        <v>11</v>
      </c>
      <c r="O24">
        <v>11</v>
      </c>
      <c r="P24">
        <v>10</v>
      </c>
      <c r="Q24">
        <v>5</v>
      </c>
      <c r="R24">
        <v>5</v>
      </c>
      <c r="S24">
        <v>0</v>
      </c>
      <c r="T24">
        <v>0</v>
      </c>
      <c r="W24" t="s">
        <v>48</v>
      </c>
      <c r="X24">
        <f t="shared" si="1"/>
        <v>0</v>
      </c>
      <c r="Y24">
        <f t="shared" si="2"/>
        <v>1</v>
      </c>
      <c r="Z24">
        <f t="shared" si="3"/>
        <v>5</v>
      </c>
      <c r="AA24">
        <f t="shared" si="4"/>
        <v>0</v>
      </c>
      <c r="AB24">
        <f t="shared" si="5"/>
        <v>5</v>
      </c>
      <c r="AC24">
        <f t="shared" si="6"/>
        <v>0</v>
      </c>
      <c r="AD24">
        <f t="shared" si="7"/>
        <v>0</v>
      </c>
    </row>
    <row r="25" spans="1:30" x14ac:dyDescent="0.2">
      <c r="A25" s="1">
        <v>23</v>
      </c>
      <c r="B25" t="s">
        <v>49</v>
      </c>
      <c r="C25" t="s">
        <v>50</v>
      </c>
      <c r="D25">
        <v>11</v>
      </c>
      <c r="E25">
        <f>VLOOKUP(C25,Week6!$A$2:$B$73,2,FALSE)</f>
        <v>11</v>
      </c>
      <c r="F25">
        <f>VLOOKUP(C25,Week5!$A$2:$B$67,2,FALSE)</f>
        <v>8</v>
      </c>
      <c r="G25">
        <f>VLOOKUP(C25,Week4!$A$2:$B$64,2,FALSE)</f>
        <v>6</v>
      </c>
      <c r="H25">
        <f>VLOOKUP(C25,Week3!$A$2:$B$61,2,FALSE)</f>
        <v>6</v>
      </c>
      <c r="I25">
        <f>VLOOKUP(C25,Week2!$A$2:$B$48,2,FALSE)</f>
        <v>6</v>
      </c>
      <c r="J25">
        <f>VLOOKUP(C25,Week1!$A$2:$B$31,2,FALSE)</f>
        <v>3</v>
      </c>
      <c r="M25" t="s">
        <v>50</v>
      </c>
      <c r="N25">
        <v>11</v>
      </c>
      <c r="O25">
        <v>11</v>
      </c>
      <c r="P25">
        <v>8</v>
      </c>
      <c r="Q25">
        <v>6</v>
      </c>
      <c r="R25">
        <v>6</v>
      </c>
      <c r="S25">
        <v>6</v>
      </c>
      <c r="T25">
        <v>3</v>
      </c>
      <c r="W25" t="s">
        <v>50</v>
      </c>
      <c r="X25">
        <f t="shared" si="1"/>
        <v>0</v>
      </c>
      <c r="Y25">
        <f t="shared" si="2"/>
        <v>3</v>
      </c>
      <c r="Z25">
        <f t="shared" si="3"/>
        <v>2</v>
      </c>
      <c r="AA25">
        <f t="shared" si="4"/>
        <v>0</v>
      </c>
      <c r="AB25">
        <f t="shared" si="5"/>
        <v>0</v>
      </c>
      <c r="AC25">
        <f t="shared" si="6"/>
        <v>3</v>
      </c>
      <c r="AD25">
        <f t="shared" si="7"/>
        <v>3</v>
      </c>
    </row>
    <row r="26" spans="1:30" x14ac:dyDescent="0.2">
      <c r="A26" s="1">
        <v>24</v>
      </c>
      <c r="B26" t="s">
        <v>51</v>
      </c>
      <c r="C26" t="s">
        <v>52</v>
      </c>
      <c r="D26">
        <v>10</v>
      </c>
      <c r="E26">
        <f>VLOOKUP(C26,Week6!$A$2:$B$73,2,FALSE)</f>
        <v>10</v>
      </c>
      <c r="F26">
        <f>VLOOKUP(C26,Week5!$A$2:$B$67,2,FALSE)</f>
        <v>4</v>
      </c>
      <c r="G26">
        <f>VLOOKUP(C26,Week4!$A$2:$B$64,2,FALSE)</f>
        <v>4</v>
      </c>
      <c r="H26">
        <f>VLOOKUP(C26,Week3!$A$2:$B$61,2,FALSE)</f>
        <v>4</v>
      </c>
      <c r="I26">
        <f>VLOOKUP(C26,Week2!$A$2:$B$48,2,FALSE)</f>
        <v>4</v>
      </c>
      <c r="J26">
        <f>VLOOKUP(C26,Week1!$A$2:$B$31,2,FALSE)</f>
        <v>3</v>
      </c>
      <c r="M26" t="s">
        <v>52</v>
      </c>
      <c r="N26">
        <v>10</v>
      </c>
      <c r="O26">
        <v>10</v>
      </c>
      <c r="P26">
        <v>4</v>
      </c>
      <c r="Q26">
        <v>4</v>
      </c>
      <c r="R26">
        <v>4</v>
      </c>
      <c r="S26">
        <v>4</v>
      </c>
      <c r="T26">
        <v>3</v>
      </c>
      <c r="W26" t="s">
        <v>52</v>
      </c>
      <c r="X26">
        <f t="shared" si="1"/>
        <v>0</v>
      </c>
      <c r="Y26">
        <f t="shared" si="2"/>
        <v>6</v>
      </c>
      <c r="Z26">
        <f t="shared" si="3"/>
        <v>0</v>
      </c>
      <c r="AA26">
        <f t="shared" si="4"/>
        <v>0</v>
      </c>
      <c r="AB26">
        <f t="shared" si="5"/>
        <v>0</v>
      </c>
      <c r="AC26">
        <f t="shared" si="6"/>
        <v>1</v>
      </c>
      <c r="AD26">
        <f t="shared" si="7"/>
        <v>3</v>
      </c>
    </row>
    <row r="27" spans="1:30" x14ac:dyDescent="0.2">
      <c r="A27" s="1">
        <v>25</v>
      </c>
      <c r="B27" t="s">
        <v>53</v>
      </c>
      <c r="C27" t="s">
        <v>54</v>
      </c>
      <c r="D27">
        <v>9</v>
      </c>
      <c r="E27">
        <f>VLOOKUP(C27,Week6!$A$2:$B$73,2,FALSE)</f>
        <v>9</v>
      </c>
      <c r="F27">
        <f>VLOOKUP(C27,Week5!$A$2:$B$67,2,FALSE)</f>
        <v>8</v>
      </c>
      <c r="G27">
        <f>VLOOKUP(C27,Week4!$A$2:$B$64,2,FALSE)</f>
        <v>8</v>
      </c>
      <c r="H27">
        <f>VLOOKUP(C27,Week3!$A$2:$B$61,2,FALSE)</f>
        <v>7</v>
      </c>
      <c r="I27">
        <f>VLOOKUP(C27,Week2!$A$2:$B$48,2,FALSE)</f>
        <v>1</v>
      </c>
      <c r="J27">
        <f>VLOOKUP(C27,Week1!$A$2:$B$31,2,FALSE)</f>
        <v>1</v>
      </c>
      <c r="M27" t="s">
        <v>54</v>
      </c>
      <c r="N27">
        <v>9</v>
      </c>
      <c r="O27">
        <v>9</v>
      </c>
      <c r="P27">
        <v>8</v>
      </c>
      <c r="Q27">
        <v>8</v>
      </c>
      <c r="R27">
        <v>7</v>
      </c>
      <c r="S27">
        <v>1</v>
      </c>
      <c r="T27">
        <v>1</v>
      </c>
      <c r="W27" t="s">
        <v>54</v>
      </c>
      <c r="X27">
        <f t="shared" si="1"/>
        <v>0</v>
      </c>
      <c r="Y27">
        <f t="shared" si="2"/>
        <v>1</v>
      </c>
      <c r="Z27">
        <f t="shared" si="3"/>
        <v>0</v>
      </c>
      <c r="AA27">
        <f t="shared" si="4"/>
        <v>1</v>
      </c>
      <c r="AB27">
        <f t="shared" si="5"/>
        <v>6</v>
      </c>
      <c r="AC27">
        <f t="shared" si="6"/>
        <v>0</v>
      </c>
      <c r="AD27">
        <f t="shared" si="7"/>
        <v>1</v>
      </c>
    </row>
    <row r="28" spans="1:30" x14ac:dyDescent="0.2">
      <c r="A28" s="1">
        <v>26</v>
      </c>
      <c r="B28" t="s">
        <v>55</v>
      </c>
      <c r="C28" t="s">
        <v>56</v>
      </c>
      <c r="D28">
        <v>9</v>
      </c>
      <c r="E28">
        <f>VLOOKUP(C28,Week6!$A$2:$B$73,2,FALSE)</f>
        <v>9</v>
      </c>
      <c r="F28">
        <f>VLOOKUP(C28,Week5!$A$2:$B$67,2,FALSE)</f>
        <v>3</v>
      </c>
      <c r="G28">
        <f>VLOOKUP(C28,Week4!$A$2:$B$64,2,FALSE)</f>
        <v>3</v>
      </c>
      <c r="H28">
        <f>VLOOKUP(C28,Week3!$A$2:$B$61,2,FALSE)</f>
        <v>3</v>
      </c>
      <c r="I28">
        <f>VLOOKUP(C28,Week2!$A$2:$B$48,2,FALSE)</f>
        <v>1</v>
      </c>
      <c r="J28" t="e">
        <f>VLOOKUP(C28,Week1!$A$2:$B$31,2,FALSE)</f>
        <v>#N/A</v>
      </c>
      <c r="M28" t="s">
        <v>56</v>
      </c>
      <c r="N28">
        <v>9</v>
      </c>
      <c r="O28">
        <v>9</v>
      </c>
      <c r="P28">
        <v>3</v>
      </c>
      <c r="Q28">
        <v>3</v>
      </c>
      <c r="R28">
        <v>3</v>
      </c>
      <c r="S28">
        <v>1</v>
      </c>
      <c r="T28">
        <v>0</v>
      </c>
      <c r="W28" t="s">
        <v>56</v>
      </c>
      <c r="X28">
        <f t="shared" si="1"/>
        <v>0</v>
      </c>
      <c r="Y28">
        <f t="shared" si="2"/>
        <v>6</v>
      </c>
      <c r="Z28">
        <f t="shared" si="3"/>
        <v>0</v>
      </c>
      <c r="AA28">
        <f t="shared" si="4"/>
        <v>0</v>
      </c>
      <c r="AB28">
        <f t="shared" si="5"/>
        <v>2</v>
      </c>
      <c r="AC28">
        <f t="shared" si="6"/>
        <v>1</v>
      </c>
      <c r="AD28">
        <f t="shared" si="7"/>
        <v>0</v>
      </c>
    </row>
    <row r="29" spans="1:30" x14ac:dyDescent="0.2">
      <c r="A29" s="1">
        <v>27</v>
      </c>
      <c r="B29" t="s">
        <v>57</v>
      </c>
      <c r="C29" t="s">
        <v>58</v>
      </c>
      <c r="D29">
        <v>8</v>
      </c>
      <c r="E29">
        <f>VLOOKUP(C29,Week6!$A$2:$B$73,2,FALSE)</f>
        <v>8</v>
      </c>
      <c r="F29">
        <f>VLOOKUP(C29,Week5!$A$2:$B$67,2,FALSE)</f>
        <v>8</v>
      </c>
      <c r="G29">
        <f>VLOOKUP(C29,Week4!$A$2:$B$64,2,FALSE)</f>
        <v>8</v>
      </c>
      <c r="H29">
        <f>VLOOKUP(C29,Week3!$A$2:$B$61,2,FALSE)</f>
        <v>8</v>
      </c>
      <c r="I29">
        <f>VLOOKUP(C29,Week2!$A$2:$B$48,2,FALSE)</f>
        <v>8</v>
      </c>
      <c r="J29">
        <f>VLOOKUP(C29,Week1!$A$2:$B$31,2,FALSE)</f>
        <v>8</v>
      </c>
      <c r="M29" t="s">
        <v>58</v>
      </c>
      <c r="N29">
        <v>8</v>
      </c>
      <c r="O29">
        <v>8</v>
      </c>
      <c r="P29">
        <v>8</v>
      </c>
      <c r="Q29">
        <v>8</v>
      </c>
      <c r="R29">
        <v>8</v>
      </c>
      <c r="S29">
        <v>8</v>
      </c>
      <c r="T29">
        <v>8</v>
      </c>
      <c r="W29" t="s">
        <v>58</v>
      </c>
      <c r="X29">
        <f t="shared" si="1"/>
        <v>0</v>
      </c>
      <c r="Y29">
        <f t="shared" si="2"/>
        <v>0</v>
      </c>
      <c r="Z29">
        <f t="shared" si="3"/>
        <v>0</v>
      </c>
      <c r="AA29">
        <f t="shared" si="4"/>
        <v>0</v>
      </c>
      <c r="AB29">
        <f t="shared" si="5"/>
        <v>0</v>
      </c>
      <c r="AC29">
        <f t="shared" si="6"/>
        <v>0</v>
      </c>
      <c r="AD29">
        <f t="shared" si="7"/>
        <v>8</v>
      </c>
    </row>
    <row r="30" spans="1:30" x14ac:dyDescent="0.2">
      <c r="A30" s="1">
        <v>28</v>
      </c>
      <c r="B30" t="s">
        <v>59</v>
      </c>
      <c r="C30" t="s">
        <v>60</v>
      </c>
      <c r="D30">
        <v>7</v>
      </c>
      <c r="E30">
        <f>VLOOKUP(C30,Week6!$A$2:$B$73,2,FALSE)</f>
        <v>7</v>
      </c>
      <c r="F30">
        <f>VLOOKUP(C30,Week5!$A$2:$B$67,2,FALSE)</f>
        <v>7</v>
      </c>
      <c r="G30">
        <f>VLOOKUP(C30,Week4!$A$2:$B$64,2,FALSE)</f>
        <v>7</v>
      </c>
      <c r="H30" t="e">
        <f>VLOOKUP(C30,Week3!$A$2:$B$61,2,FALSE)</f>
        <v>#N/A</v>
      </c>
      <c r="I30" t="e">
        <f>VLOOKUP(C30,Week2!$A$2:$B$48,2,FALSE)</f>
        <v>#N/A</v>
      </c>
      <c r="J30" t="e">
        <f>VLOOKUP(C30,Week1!$A$2:$B$31,2,FALSE)</f>
        <v>#N/A</v>
      </c>
      <c r="M30" t="s">
        <v>60</v>
      </c>
      <c r="N30">
        <v>7</v>
      </c>
      <c r="O30">
        <v>7</v>
      </c>
      <c r="P30">
        <v>7</v>
      </c>
      <c r="Q30">
        <v>7</v>
      </c>
      <c r="R30">
        <v>0</v>
      </c>
      <c r="S30">
        <v>0</v>
      </c>
      <c r="T30">
        <v>0</v>
      </c>
      <c r="W30" t="s">
        <v>60</v>
      </c>
      <c r="X30">
        <f t="shared" si="1"/>
        <v>0</v>
      </c>
      <c r="Y30">
        <f t="shared" si="2"/>
        <v>0</v>
      </c>
      <c r="Z30">
        <f t="shared" si="3"/>
        <v>0</v>
      </c>
      <c r="AA30">
        <f t="shared" si="4"/>
        <v>7</v>
      </c>
      <c r="AB30">
        <f t="shared" si="5"/>
        <v>0</v>
      </c>
      <c r="AC30">
        <f t="shared" si="6"/>
        <v>0</v>
      </c>
      <c r="AD30">
        <f t="shared" si="7"/>
        <v>0</v>
      </c>
    </row>
    <row r="31" spans="1:30" x14ac:dyDescent="0.2">
      <c r="A31" s="1">
        <v>29</v>
      </c>
      <c r="B31" t="s">
        <v>61</v>
      </c>
      <c r="C31" t="s">
        <v>62</v>
      </c>
      <c r="D31">
        <v>7</v>
      </c>
      <c r="E31">
        <f>VLOOKUP(C31,Week6!$A$2:$B$73,2,FALSE)</f>
        <v>7</v>
      </c>
      <c r="F31">
        <f>VLOOKUP(C31,Week5!$A$2:$B$67,2,FALSE)</f>
        <v>5</v>
      </c>
      <c r="G31" t="e">
        <f>VLOOKUP(C31,Week4!$A$2:$B$64,2,FALSE)</f>
        <v>#N/A</v>
      </c>
      <c r="H31" t="e">
        <f>VLOOKUP(C31,Week3!$A$2:$B$61,2,FALSE)</f>
        <v>#N/A</v>
      </c>
      <c r="I31" t="e">
        <f>VLOOKUP(C31,Week2!$A$2:$B$48,2,FALSE)</f>
        <v>#N/A</v>
      </c>
      <c r="J31" t="e">
        <f>VLOOKUP(C31,Week1!$A$2:$B$31,2,FALSE)</f>
        <v>#N/A</v>
      </c>
      <c r="M31" t="s">
        <v>62</v>
      </c>
      <c r="N31">
        <v>7</v>
      </c>
      <c r="O31">
        <v>7</v>
      </c>
      <c r="P31">
        <v>5</v>
      </c>
      <c r="Q31">
        <v>0</v>
      </c>
      <c r="R31">
        <v>0</v>
      </c>
      <c r="S31">
        <v>0</v>
      </c>
      <c r="T31">
        <v>0</v>
      </c>
      <c r="W31" t="s">
        <v>62</v>
      </c>
      <c r="X31">
        <f t="shared" si="1"/>
        <v>0</v>
      </c>
      <c r="Y31">
        <f t="shared" si="2"/>
        <v>2</v>
      </c>
      <c r="Z31">
        <f t="shared" si="3"/>
        <v>5</v>
      </c>
      <c r="AA31">
        <f t="shared" si="4"/>
        <v>0</v>
      </c>
      <c r="AB31">
        <f t="shared" si="5"/>
        <v>0</v>
      </c>
      <c r="AC31">
        <f t="shared" si="6"/>
        <v>0</v>
      </c>
      <c r="AD31">
        <f t="shared" si="7"/>
        <v>0</v>
      </c>
    </row>
    <row r="32" spans="1:30" x14ac:dyDescent="0.2">
      <c r="A32" s="1">
        <v>30</v>
      </c>
      <c r="B32" t="s">
        <v>63</v>
      </c>
      <c r="C32" t="s">
        <v>64</v>
      </c>
      <c r="D32">
        <v>6</v>
      </c>
      <c r="E32">
        <f>VLOOKUP(C32,Week6!$A$2:$B$73,2,FALSE)</f>
        <v>4</v>
      </c>
      <c r="F32">
        <f>VLOOKUP(C32,Week5!$A$2:$B$67,2,FALSE)</f>
        <v>2</v>
      </c>
      <c r="G32">
        <f>VLOOKUP(C32,Week4!$A$2:$B$64,2,FALSE)</f>
        <v>1</v>
      </c>
      <c r="H32">
        <f>VLOOKUP(C32,Week3!$A$2:$B$61,2,FALSE)</f>
        <v>1</v>
      </c>
      <c r="I32">
        <f>VLOOKUP(C32,Week2!$A$2:$B$48,2,FALSE)</f>
        <v>1</v>
      </c>
      <c r="J32">
        <f>VLOOKUP(C32,Week1!$A$2:$B$31,2,FALSE)</f>
        <v>1</v>
      </c>
      <c r="M32" t="s">
        <v>64</v>
      </c>
      <c r="N32">
        <v>6</v>
      </c>
      <c r="O32">
        <v>4</v>
      </c>
      <c r="P32">
        <v>2</v>
      </c>
      <c r="Q32">
        <v>1</v>
      </c>
      <c r="R32">
        <v>1</v>
      </c>
      <c r="S32">
        <v>1</v>
      </c>
      <c r="T32">
        <v>1</v>
      </c>
      <c r="W32" t="s">
        <v>64</v>
      </c>
      <c r="X32">
        <f t="shared" si="1"/>
        <v>2</v>
      </c>
      <c r="Y32">
        <f t="shared" si="2"/>
        <v>2</v>
      </c>
      <c r="Z32">
        <f t="shared" si="3"/>
        <v>1</v>
      </c>
      <c r="AA32">
        <f t="shared" si="4"/>
        <v>0</v>
      </c>
      <c r="AB32">
        <f t="shared" si="5"/>
        <v>0</v>
      </c>
      <c r="AC32">
        <f t="shared" si="6"/>
        <v>0</v>
      </c>
      <c r="AD32">
        <f t="shared" si="7"/>
        <v>1</v>
      </c>
    </row>
    <row r="33" spans="1:30" x14ac:dyDescent="0.2">
      <c r="A33" s="1">
        <v>31</v>
      </c>
      <c r="B33" t="s">
        <v>65</v>
      </c>
      <c r="C33" t="s">
        <v>66</v>
      </c>
      <c r="D33">
        <v>6</v>
      </c>
      <c r="E33">
        <f>VLOOKUP(C33,Week6!$A$2:$B$73,2,FALSE)</f>
        <v>1</v>
      </c>
      <c r="F33">
        <f>VLOOKUP(C33,Week5!$A$2:$B$67,2,FALSE)</f>
        <v>1</v>
      </c>
      <c r="G33">
        <f>VLOOKUP(C33,Week4!$A$2:$B$64,2,FALSE)</f>
        <v>1</v>
      </c>
      <c r="H33">
        <f>VLOOKUP(C33,Week3!$A$2:$B$61,2,FALSE)</f>
        <v>1</v>
      </c>
      <c r="I33">
        <f>VLOOKUP(C33,Week2!$A$2:$B$48,2,FALSE)</f>
        <v>1</v>
      </c>
      <c r="J33" t="e">
        <f>VLOOKUP(C33,Week1!$A$2:$B$31,2,FALSE)</f>
        <v>#N/A</v>
      </c>
      <c r="M33" t="s">
        <v>66</v>
      </c>
      <c r="N33">
        <v>6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W33" t="s">
        <v>66</v>
      </c>
      <c r="X33">
        <f t="shared" si="1"/>
        <v>5</v>
      </c>
      <c r="Y33">
        <f t="shared" si="2"/>
        <v>0</v>
      </c>
      <c r="Z33">
        <f t="shared" si="3"/>
        <v>0</v>
      </c>
      <c r="AA33">
        <f t="shared" si="4"/>
        <v>0</v>
      </c>
      <c r="AB33">
        <f t="shared" si="5"/>
        <v>0</v>
      </c>
      <c r="AC33">
        <f t="shared" si="6"/>
        <v>1</v>
      </c>
      <c r="AD33">
        <f t="shared" si="7"/>
        <v>0</v>
      </c>
    </row>
    <row r="34" spans="1:30" x14ac:dyDescent="0.2">
      <c r="A34" s="1">
        <v>32</v>
      </c>
      <c r="B34" t="s">
        <v>67</v>
      </c>
      <c r="C34" t="s">
        <v>68</v>
      </c>
      <c r="D34">
        <v>6</v>
      </c>
      <c r="E34">
        <f>VLOOKUP(C34,Week6!$A$2:$B$73,2,FALSE)</f>
        <v>6</v>
      </c>
      <c r="F34">
        <f>VLOOKUP(C34,Week5!$A$2:$B$67,2,FALSE)</f>
        <v>6</v>
      </c>
      <c r="G34">
        <f>VLOOKUP(C34,Week4!$A$2:$B$64,2,FALSE)</f>
        <v>6</v>
      </c>
      <c r="H34">
        <f>VLOOKUP(C34,Week3!$A$2:$B$61,2,FALSE)</f>
        <v>4</v>
      </c>
      <c r="I34">
        <f>VLOOKUP(C34,Week2!$A$2:$B$48,2,FALSE)</f>
        <v>3</v>
      </c>
      <c r="J34">
        <f>VLOOKUP(C34,Week1!$A$2:$B$31,2,FALSE)</f>
        <v>3</v>
      </c>
      <c r="M34" t="s">
        <v>68</v>
      </c>
      <c r="N34">
        <v>6</v>
      </c>
      <c r="O34">
        <v>6</v>
      </c>
      <c r="P34">
        <v>6</v>
      </c>
      <c r="Q34">
        <v>6</v>
      </c>
      <c r="R34">
        <v>4</v>
      </c>
      <c r="S34">
        <v>3</v>
      </c>
      <c r="T34">
        <v>3</v>
      </c>
      <c r="W34" t="s">
        <v>68</v>
      </c>
      <c r="X34">
        <f t="shared" si="1"/>
        <v>0</v>
      </c>
      <c r="Y34">
        <f t="shared" si="2"/>
        <v>0</v>
      </c>
      <c r="Z34">
        <f t="shared" si="3"/>
        <v>0</v>
      </c>
      <c r="AA34">
        <f t="shared" si="4"/>
        <v>2</v>
      </c>
      <c r="AB34">
        <f t="shared" si="5"/>
        <v>1</v>
      </c>
      <c r="AC34">
        <f t="shared" si="6"/>
        <v>0</v>
      </c>
      <c r="AD34">
        <f t="shared" si="7"/>
        <v>3</v>
      </c>
    </row>
    <row r="35" spans="1:30" x14ac:dyDescent="0.2">
      <c r="A35" s="1">
        <v>33</v>
      </c>
      <c r="B35" t="s">
        <v>69</v>
      </c>
      <c r="C35" t="s">
        <v>70</v>
      </c>
      <c r="D35">
        <v>6</v>
      </c>
      <c r="E35">
        <f>VLOOKUP(C35,Week6!$A$2:$B$73,2,FALSE)</f>
        <v>5</v>
      </c>
      <c r="F35">
        <f>VLOOKUP(C35,Week5!$A$2:$B$67,2,FALSE)</f>
        <v>5</v>
      </c>
      <c r="G35">
        <f>VLOOKUP(C35,Week4!$A$2:$B$64,2,FALSE)</f>
        <v>5</v>
      </c>
      <c r="H35">
        <f>VLOOKUP(C35,Week3!$A$2:$B$61,2,FALSE)</f>
        <v>5</v>
      </c>
      <c r="I35">
        <f>VLOOKUP(C35,Week2!$A$2:$B$48,2,FALSE)</f>
        <v>5</v>
      </c>
      <c r="J35">
        <f>VLOOKUP(C35,Week1!$A$2:$B$31,2,FALSE)</f>
        <v>5</v>
      </c>
      <c r="M35" t="s">
        <v>70</v>
      </c>
      <c r="N35">
        <v>6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W35" t="s">
        <v>70</v>
      </c>
      <c r="X35">
        <f t="shared" si="1"/>
        <v>1</v>
      </c>
      <c r="Y35">
        <f t="shared" si="2"/>
        <v>0</v>
      </c>
      <c r="Z35">
        <f t="shared" si="3"/>
        <v>0</v>
      </c>
      <c r="AA35">
        <f t="shared" si="4"/>
        <v>0</v>
      </c>
      <c r="AB35">
        <f t="shared" si="5"/>
        <v>0</v>
      </c>
      <c r="AC35">
        <f t="shared" si="6"/>
        <v>0</v>
      </c>
      <c r="AD35">
        <f t="shared" si="7"/>
        <v>5</v>
      </c>
    </row>
    <row r="36" spans="1:30" x14ac:dyDescent="0.2">
      <c r="A36" s="1">
        <v>34</v>
      </c>
      <c r="B36" t="s">
        <v>71</v>
      </c>
      <c r="C36" t="s">
        <v>72</v>
      </c>
      <c r="D36">
        <v>6</v>
      </c>
      <c r="E36">
        <f>VLOOKUP(C36,Week6!$A$2:$B$73,2,FALSE)</f>
        <v>6</v>
      </c>
      <c r="F36">
        <f>VLOOKUP(C36,Week5!$A$2:$B$67,2,FALSE)</f>
        <v>4</v>
      </c>
      <c r="G36">
        <f>VLOOKUP(C36,Week4!$A$2:$B$64,2,FALSE)</f>
        <v>4</v>
      </c>
      <c r="H36">
        <f>VLOOKUP(C36,Week3!$A$2:$B$61,2,FALSE)</f>
        <v>4</v>
      </c>
      <c r="I36">
        <f>VLOOKUP(C36,Week2!$A$2:$B$48,2,FALSE)</f>
        <v>1</v>
      </c>
      <c r="J36">
        <f>VLOOKUP(C36,Week1!$A$2:$B$31,2,FALSE)</f>
        <v>1</v>
      </c>
      <c r="M36" t="s">
        <v>72</v>
      </c>
      <c r="N36">
        <v>6</v>
      </c>
      <c r="O36">
        <v>6</v>
      </c>
      <c r="P36">
        <v>4</v>
      </c>
      <c r="Q36">
        <v>4</v>
      </c>
      <c r="R36">
        <v>4</v>
      </c>
      <c r="S36">
        <v>1</v>
      </c>
      <c r="T36">
        <v>1</v>
      </c>
      <c r="W36" t="s">
        <v>72</v>
      </c>
      <c r="X36">
        <f t="shared" si="1"/>
        <v>0</v>
      </c>
      <c r="Y36">
        <f t="shared" si="2"/>
        <v>2</v>
      </c>
      <c r="Z36">
        <f t="shared" si="3"/>
        <v>0</v>
      </c>
      <c r="AA36">
        <f t="shared" si="4"/>
        <v>0</v>
      </c>
      <c r="AB36">
        <f t="shared" si="5"/>
        <v>3</v>
      </c>
      <c r="AC36">
        <f t="shared" si="6"/>
        <v>0</v>
      </c>
      <c r="AD36">
        <f t="shared" si="7"/>
        <v>1</v>
      </c>
    </row>
    <row r="37" spans="1:30" x14ac:dyDescent="0.2">
      <c r="A37" s="1">
        <v>35</v>
      </c>
      <c r="B37" t="s">
        <v>73</v>
      </c>
      <c r="C37" t="s">
        <v>74</v>
      </c>
      <c r="D37">
        <v>5</v>
      </c>
      <c r="E37">
        <f>VLOOKUP(C37,Week6!$A$2:$B$73,2,FALSE)</f>
        <v>5</v>
      </c>
      <c r="F37">
        <f>VLOOKUP(C37,Week5!$A$2:$B$67,2,FALSE)</f>
        <v>5</v>
      </c>
      <c r="G37">
        <f>VLOOKUP(C37,Week4!$A$2:$B$64,2,FALSE)</f>
        <v>5</v>
      </c>
      <c r="H37">
        <f>VLOOKUP(C37,Week3!$A$2:$B$61,2,FALSE)</f>
        <v>5</v>
      </c>
      <c r="I37" t="e">
        <f>VLOOKUP(C37,Week2!$A$2:$B$48,2,FALSE)</f>
        <v>#N/A</v>
      </c>
      <c r="J37" t="e">
        <f>VLOOKUP(C37,Week1!$A$2:$B$31,2,FALSE)</f>
        <v>#N/A</v>
      </c>
      <c r="M37" t="s">
        <v>74</v>
      </c>
      <c r="N37">
        <v>5</v>
      </c>
      <c r="O37">
        <v>5</v>
      </c>
      <c r="P37">
        <v>5</v>
      </c>
      <c r="Q37">
        <v>5</v>
      </c>
      <c r="R37">
        <v>5</v>
      </c>
      <c r="S37">
        <v>0</v>
      </c>
      <c r="T37">
        <v>0</v>
      </c>
      <c r="W37" t="s">
        <v>74</v>
      </c>
      <c r="X37">
        <f t="shared" si="1"/>
        <v>0</v>
      </c>
      <c r="Y37">
        <f t="shared" si="2"/>
        <v>0</v>
      </c>
      <c r="Z37">
        <f t="shared" si="3"/>
        <v>0</v>
      </c>
      <c r="AA37">
        <f t="shared" si="4"/>
        <v>0</v>
      </c>
      <c r="AB37">
        <f t="shared" si="5"/>
        <v>5</v>
      </c>
      <c r="AC37">
        <f t="shared" si="6"/>
        <v>0</v>
      </c>
      <c r="AD37">
        <f t="shared" si="7"/>
        <v>0</v>
      </c>
    </row>
    <row r="38" spans="1:30" x14ac:dyDescent="0.2">
      <c r="A38" s="1">
        <v>36</v>
      </c>
      <c r="B38" t="s">
        <v>75</v>
      </c>
      <c r="C38" t="s">
        <v>76</v>
      </c>
      <c r="D38">
        <v>5</v>
      </c>
      <c r="E38">
        <f>VLOOKUP(C38,Week6!$A$2:$B$73,2,FALSE)</f>
        <v>4</v>
      </c>
      <c r="F38">
        <f>VLOOKUP(C38,Week5!$A$2:$B$67,2,FALSE)</f>
        <v>4</v>
      </c>
      <c r="G38">
        <f>VLOOKUP(C38,Week4!$A$2:$B$64,2,FALSE)</f>
        <v>4</v>
      </c>
      <c r="H38">
        <f>VLOOKUP(C38,Week3!$A$2:$B$61,2,FALSE)</f>
        <v>4</v>
      </c>
      <c r="I38" t="e">
        <f>VLOOKUP(C38,Week2!$A$2:$B$48,2,FALSE)</f>
        <v>#N/A</v>
      </c>
      <c r="J38" t="e">
        <f>VLOOKUP(C38,Week1!$A$2:$B$31,2,FALSE)</f>
        <v>#N/A</v>
      </c>
      <c r="M38" t="s">
        <v>76</v>
      </c>
      <c r="N38">
        <v>5</v>
      </c>
      <c r="O38">
        <v>4</v>
      </c>
      <c r="P38">
        <v>4</v>
      </c>
      <c r="Q38">
        <v>4</v>
      </c>
      <c r="R38">
        <v>4</v>
      </c>
      <c r="S38">
        <v>0</v>
      </c>
      <c r="T38">
        <v>0</v>
      </c>
      <c r="W38" t="s">
        <v>76</v>
      </c>
      <c r="X38">
        <f t="shared" si="1"/>
        <v>1</v>
      </c>
      <c r="Y38">
        <f t="shared" si="2"/>
        <v>0</v>
      </c>
      <c r="Z38">
        <f t="shared" si="3"/>
        <v>0</v>
      </c>
      <c r="AA38">
        <f t="shared" si="4"/>
        <v>0</v>
      </c>
      <c r="AB38">
        <f t="shared" si="5"/>
        <v>4</v>
      </c>
      <c r="AC38">
        <f t="shared" si="6"/>
        <v>0</v>
      </c>
      <c r="AD38">
        <f t="shared" si="7"/>
        <v>0</v>
      </c>
    </row>
    <row r="39" spans="1:30" x14ac:dyDescent="0.2">
      <c r="A39" s="1">
        <v>37</v>
      </c>
      <c r="B39" t="s">
        <v>77</v>
      </c>
      <c r="C39" t="s">
        <v>78</v>
      </c>
      <c r="D39">
        <v>5</v>
      </c>
      <c r="E39">
        <f>VLOOKUP(C39,Week6!$A$2:$B$73,2,FALSE)</f>
        <v>5</v>
      </c>
      <c r="F39" t="e">
        <f>VLOOKUP(C39,Week5!$A$2:$B$67,2,FALSE)</f>
        <v>#N/A</v>
      </c>
      <c r="G39" t="e">
        <f>VLOOKUP(C39,Week4!$A$2:$B$64,2,FALSE)</f>
        <v>#N/A</v>
      </c>
      <c r="H39" t="e">
        <f>VLOOKUP(C39,Week3!$A$2:$B$61,2,FALSE)</f>
        <v>#N/A</v>
      </c>
      <c r="I39" t="e">
        <f>VLOOKUP(C39,Week2!$A$2:$B$48,2,FALSE)</f>
        <v>#N/A</v>
      </c>
      <c r="J39" t="e">
        <f>VLOOKUP(C39,Week1!$A$2:$B$31,2,FALSE)</f>
        <v>#N/A</v>
      </c>
      <c r="M39" t="s">
        <v>78</v>
      </c>
      <c r="N39">
        <v>5</v>
      </c>
      <c r="O39">
        <v>5</v>
      </c>
      <c r="P39">
        <v>0</v>
      </c>
      <c r="Q39">
        <v>0</v>
      </c>
      <c r="R39">
        <v>0</v>
      </c>
      <c r="S39">
        <v>0</v>
      </c>
      <c r="T39">
        <v>0</v>
      </c>
      <c r="W39" t="s">
        <v>78</v>
      </c>
      <c r="X39">
        <f t="shared" si="1"/>
        <v>0</v>
      </c>
      <c r="Y39">
        <f t="shared" si="2"/>
        <v>5</v>
      </c>
      <c r="Z39">
        <f t="shared" si="3"/>
        <v>0</v>
      </c>
      <c r="AA39">
        <f t="shared" si="4"/>
        <v>0</v>
      </c>
      <c r="AB39">
        <f t="shared" si="5"/>
        <v>0</v>
      </c>
      <c r="AC39">
        <f t="shared" si="6"/>
        <v>0</v>
      </c>
      <c r="AD39">
        <f t="shared" si="7"/>
        <v>0</v>
      </c>
    </row>
    <row r="40" spans="1:30" x14ac:dyDescent="0.2">
      <c r="A40" s="1">
        <v>38</v>
      </c>
      <c r="B40" t="s">
        <v>79</v>
      </c>
      <c r="C40" t="s">
        <v>80</v>
      </c>
      <c r="D40">
        <v>4</v>
      </c>
      <c r="E40">
        <f>VLOOKUP(C40,Week6!$A$2:$B$73,2,FALSE)</f>
        <v>1</v>
      </c>
      <c r="F40" t="e">
        <f>VLOOKUP(C40,Week5!$A$2:$B$67,2,FALSE)</f>
        <v>#N/A</v>
      </c>
      <c r="G40" t="e">
        <f>VLOOKUP(C40,Week4!$A$2:$B$64,2,FALSE)</f>
        <v>#N/A</v>
      </c>
      <c r="H40" t="e">
        <f>VLOOKUP(C40,Week3!$A$2:$B$61,2,FALSE)</f>
        <v>#N/A</v>
      </c>
      <c r="I40" t="e">
        <f>VLOOKUP(C40,Week2!$A$2:$B$48,2,FALSE)</f>
        <v>#N/A</v>
      </c>
      <c r="J40" t="e">
        <f>VLOOKUP(C40,Week1!$A$2:$B$31,2,FALSE)</f>
        <v>#N/A</v>
      </c>
      <c r="M40" t="s">
        <v>80</v>
      </c>
      <c r="N40">
        <v>4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W40" t="s">
        <v>80</v>
      </c>
      <c r="X40">
        <f t="shared" si="1"/>
        <v>3</v>
      </c>
      <c r="Y40">
        <f t="shared" si="2"/>
        <v>1</v>
      </c>
      <c r="Z40">
        <f t="shared" si="3"/>
        <v>0</v>
      </c>
      <c r="AA40">
        <f t="shared" si="4"/>
        <v>0</v>
      </c>
      <c r="AB40">
        <f t="shared" si="5"/>
        <v>0</v>
      </c>
      <c r="AC40">
        <f t="shared" si="6"/>
        <v>0</v>
      </c>
      <c r="AD40">
        <f t="shared" si="7"/>
        <v>0</v>
      </c>
    </row>
    <row r="41" spans="1:30" x14ac:dyDescent="0.2">
      <c r="A41" s="1">
        <v>39</v>
      </c>
      <c r="B41" t="s">
        <v>81</v>
      </c>
      <c r="C41" t="s">
        <v>82</v>
      </c>
      <c r="D41">
        <v>4</v>
      </c>
      <c r="E41">
        <f>VLOOKUP(C41,Week6!$A$2:$B$73,2,FALSE)</f>
        <v>4</v>
      </c>
      <c r="F41">
        <f>VLOOKUP(C41,Week5!$A$2:$B$67,2,FALSE)</f>
        <v>1</v>
      </c>
      <c r="G41" t="e">
        <f>VLOOKUP(C41,Week4!$A$2:$B$64,2,FALSE)</f>
        <v>#N/A</v>
      </c>
      <c r="H41" t="e">
        <f>VLOOKUP(C41,Week3!$A$2:$B$61,2,FALSE)</f>
        <v>#N/A</v>
      </c>
      <c r="I41" t="e">
        <f>VLOOKUP(C41,Week2!$A$2:$B$48,2,FALSE)</f>
        <v>#N/A</v>
      </c>
      <c r="J41" t="e">
        <f>VLOOKUP(C41,Week1!$A$2:$B$31,2,FALSE)</f>
        <v>#N/A</v>
      </c>
      <c r="M41" t="s">
        <v>82</v>
      </c>
      <c r="N41">
        <v>4</v>
      </c>
      <c r="O41">
        <v>4</v>
      </c>
      <c r="P41">
        <v>1</v>
      </c>
      <c r="Q41">
        <v>0</v>
      </c>
      <c r="R41">
        <v>0</v>
      </c>
      <c r="S41">
        <v>0</v>
      </c>
      <c r="T41">
        <v>0</v>
      </c>
      <c r="W41" t="s">
        <v>82</v>
      </c>
      <c r="X41">
        <f t="shared" si="1"/>
        <v>0</v>
      </c>
      <c r="Y41">
        <f t="shared" si="2"/>
        <v>3</v>
      </c>
      <c r="Z41">
        <f t="shared" si="3"/>
        <v>1</v>
      </c>
      <c r="AA41">
        <f t="shared" si="4"/>
        <v>0</v>
      </c>
      <c r="AB41">
        <f t="shared" si="5"/>
        <v>0</v>
      </c>
      <c r="AC41">
        <f t="shared" si="6"/>
        <v>0</v>
      </c>
      <c r="AD41">
        <f t="shared" si="7"/>
        <v>0</v>
      </c>
    </row>
    <row r="42" spans="1:30" x14ac:dyDescent="0.2">
      <c r="A42" s="1">
        <v>40</v>
      </c>
      <c r="B42" t="s">
        <v>83</v>
      </c>
      <c r="C42" t="s">
        <v>84</v>
      </c>
      <c r="D42">
        <v>4</v>
      </c>
      <c r="E42">
        <f>VLOOKUP(C42,Week6!$A$2:$B$73,2,FALSE)</f>
        <v>4</v>
      </c>
      <c r="F42">
        <f>VLOOKUP(C42,Week5!$A$2:$B$67,2,FALSE)</f>
        <v>4</v>
      </c>
      <c r="G42">
        <f>VLOOKUP(C42,Week4!$A$2:$B$64,2,FALSE)</f>
        <v>4</v>
      </c>
      <c r="H42">
        <f>VLOOKUP(C42,Week3!$A$2:$B$61,2,FALSE)</f>
        <v>4</v>
      </c>
      <c r="I42" t="e">
        <f>VLOOKUP(C42,Week2!$A$2:$B$48,2,FALSE)</f>
        <v>#N/A</v>
      </c>
      <c r="J42" t="e">
        <f>VLOOKUP(C42,Week1!$A$2:$B$31,2,FALSE)</f>
        <v>#N/A</v>
      </c>
      <c r="M42" t="s">
        <v>84</v>
      </c>
      <c r="N42">
        <v>4</v>
      </c>
      <c r="O42">
        <v>4</v>
      </c>
      <c r="P42">
        <v>4</v>
      </c>
      <c r="Q42">
        <v>4</v>
      </c>
      <c r="R42">
        <v>4</v>
      </c>
      <c r="S42">
        <v>0</v>
      </c>
      <c r="T42">
        <v>0</v>
      </c>
      <c r="W42" t="s">
        <v>84</v>
      </c>
      <c r="X42">
        <f t="shared" si="1"/>
        <v>0</v>
      </c>
      <c r="Y42">
        <f t="shared" si="2"/>
        <v>0</v>
      </c>
      <c r="Z42">
        <f t="shared" si="3"/>
        <v>0</v>
      </c>
      <c r="AA42">
        <f t="shared" si="4"/>
        <v>0</v>
      </c>
      <c r="AB42">
        <f t="shared" si="5"/>
        <v>4</v>
      </c>
      <c r="AC42">
        <f t="shared" si="6"/>
        <v>0</v>
      </c>
      <c r="AD42">
        <f t="shared" si="7"/>
        <v>0</v>
      </c>
    </row>
    <row r="43" spans="1:30" x14ac:dyDescent="0.2">
      <c r="A43" s="1">
        <v>41</v>
      </c>
      <c r="B43" t="s">
        <v>85</v>
      </c>
      <c r="C43" t="s">
        <v>86</v>
      </c>
      <c r="D43">
        <v>4</v>
      </c>
      <c r="E43">
        <f>VLOOKUP(C43,Week6!$A$2:$B$73,2,FALSE)</f>
        <v>4</v>
      </c>
      <c r="F43">
        <f>VLOOKUP(C43,Week5!$A$2:$B$67,2,FALSE)</f>
        <v>4</v>
      </c>
      <c r="G43">
        <f>VLOOKUP(C43,Week4!$A$2:$B$64,2,FALSE)</f>
        <v>4</v>
      </c>
      <c r="H43">
        <f>VLOOKUP(C43,Week3!$A$2:$B$61,2,FALSE)</f>
        <v>4</v>
      </c>
      <c r="I43" t="e">
        <f>VLOOKUP(C43,Week2!$A$2:$B$48,2,FALSE)</f>
        <v>#N/A</v>
      </c>
      <c r="J43" t="e">
        <f>VLOOKUP(C43,Week1!$A$2:$B$31,2,FALSE)</f>
        <v>#N/A</v>
      </c>
      <c r="M43" t="s">
        <v>86</v>
      </c>
      <c r="N43">
        <v>4</v>
      </c>
      <c r="O43">
        <v>4</v>
      </c>
      <c r="P43">
        <v>4</v>
      </c>
      <c r="Q43">
        <v>4</v>
      </c>
      <c r="R43">
        <v>4</v>
      </c>
      <c r="S43">
        <v>0</v>
      </c>
      <c r="T43">
        <v>0</v>
      </c>
      <c r="W43" t="s">
        <v>86</v>
      </c>
      <c r="X43">
        <f t="shared" si="1"/>
        <v>0</v>
      </c>
      <c r="Y43">
        <f t="shared" si="2"/>
        <v>0</v>
      </c>
      <c r="Z43">
        <f t="shared" si="3"/>
        <v>0</v>
      </c>
      <c r="AA43">
        <f t="shared" si="4"/>
        <v>0</v>
      </c>
      <c r="AB43">
        <f t="shared" si="5"/>
        <v>4</v>
      </c>
      <c r="AC43">
        <f t="shared" si="6"/>
        <v>0</v>
      </c>
      <c r="AD43">
        <f t="shared" si="7"/>
        <v>0</v>
      </c>
    </row>
    <row r="44" spans="1:30" x14ac:dyDescent="0.2">
      <c r="A44" s="1">
        <v>42</v>
      </c>
      <c r="B44" t="s">
        <v>87</v>
      </c>
      <c r="C44" t="s">
        <v>88</v>
      </c>
      <c r="D44">
        <v>4</v>
      </c>
      <c r="E44">
        <f>VLOOKUP(C44,Week6!$A$2:$B$73,2,FALSE)</f>
        <v>4</v>
      </c>
      <c r="F44">
        <f>VLOOKUP(C44,Week5!$A$2:$B$67,2,FALSE)</f>
        <v>3</v>
      </c>
      <c r="G44">
        <f>VLOOKUP(C44,Week4!$A$2:$B$64,2,FALSE)</f>
        <v>3</v>
      </c>
      <c r="H44">
        <f>VLOOKUP(C44,Week3!$A$2:$B$61,2,FALSE)</f>
        <v>1</v>
      </c>
      <c r="I44" t="e">
        <f>VLOOKUP(C44,Week2!$A$2:$B$48,2,FALSE)</f>
        <v>#N/A</v>
      </c>
      <c r="J44" t="e">
        <f>VLOOKUP(C44,Week1!$A$2:$B$31,2,FALSE)</f>
        <v>#N/A</v>
      </c>
      <c r="M44" t="s">
        <v>88</v>
      </c>
      <c r="N44">
        <v>4</v>
      </c>
      <c r="O44">
        <v>4</v>
      </c>
      <c r="P44">
        <v>3</v>
      </c>
      <c r="Q44">
        <v>3</v>
      </c>
      <c r="R44">
        <v>1</v>
      </c>
      <c r="S44">
        <v>0</v>
      </c>
      <c r="T44">
        <v>0</v>
      </c>
      <c r="W44" t="s">
        <v>88</v>
      </c>
      <c r="X44">
        <f t="shared" si="1"/>
        <v>0</v>
      </c>
      <c r="Y44">
        <f t="shared" si="2"/>
        <v>1</v>
      </c>
      <c r="Z44">
        <f t="shared" si="3"/>
        <v>0</v>
      </c>
      <c r="AA44">
        <f t="shared" si="4"/>
        <v>2</v>
      </c>
      <c r="AB44">
        <f t="shared" si="5"/>
        <v>1</v>
      </c>
      <c r="AC44">
        <f t="shared" si="6"/>
        <v>0</v>
      </c>
      <c r="AD44">
        <f t="shared" si="7"/>
        <v>0</v>
      </c>
    </row>
    <row r="45" spans="1:30" x14ac:dyDescent="0.2">
      <c r="A45" s="1">
        <v>43</v>
      </c>
      <c r="B45" t="s">
        <v>89</v>
      </c>
      <c r="C45" t="s">
        <v>90</v>
      </c>
      <c r="D45">
        <v>3</v>
      </c>
      <c r="E45">
        <f>VLOOKUP(C45,Week6!$A$2:$B$73,2,FALSE)</f>
        <v>3</v>
      </c>
      <c r="F45">
        <f>VLOOKUP(C45,Week5!$A$2:$B$67,2,FALSE)</f>
        <v>2</v>
      </c>
      <c r="G45">
        <f>VLOOKUP(C45,Week4!$A$2:$B$64,2,FALSE)</f>
        <v>2</v>
      </c>
      <c r="H45">
        <f>VLOOKUP(C45,Week3!$A$2:$B$61,2,FALSE)</f>
        <v>2</v>
      </c>
      <c r="I45">
        <f>VLOOKUP(C45,Week2!$A$2:$B$48,2,FALSE)</f>
        <v>2</v>
      </c>
      <c r="J45" t="e">
        <f>VLOOKUP(C45,Week1!$A$2:$B$31,2,FALSE)</f>
        <v>#N/A</v>
      </c>
      <c r="M45" t="s">
        <v>90</v>
      </c>
      <c r="N45">
        <v>3</v>
      </c>
      <c r="O45">
        <v>3</v>
      </c>
      <c r="P45">
        <v>2</v>
      </c>
      <c r="Q45">
        <v>2</v>
      </c>
      <c r="R45">
        <v>2</v>
      </c>
      <c r="S45">
        <v>2</v>
      </c>
      <c r="T45">
        <v>0</v>
      </c>
      <c r="W45" t="s">
        <v>90</v>
      </c>
      <c r="X45">
        <f t="shared" si="1"/>
        <v>0</v>
      </c>
      <c r="Y45">
        <f t="shared" si="2"/>
        <v>1</v>
      </c>
      <c r="Z45">
        <f t="shared" si="3"/>
        <v>0</v>
      </c>
      <c r="AA45">
        <f t="shared" si="4"/>
        <v>0</v>
      </c>
      <c r="AB45">
        <f t="shared" si="5"/>
        <v>0</v>
      </c>
      <c r="AC45">
        <f t="shared" si="6"/>
        <v>2</v>
      </c>
      <c r="AD45">
        <f t="shared" si="7"/>
        <v>0</v>
      </c>
    </row>
    <row r="46" spans="1:30" x14ac:dyDescent="0.2">
      <c r="A46" s="1">
        <v>44</v>
      </c>
      <c r="B46" t="s">
        <v>91</v>
      </c>
      <c r="C46" t="s">
        <v>92</v>
      </c>
      <c r="D46">
        <v>3</v>
      </c>
      <c r="E46">
        <f>VLOOKUP(C46,Week6!$A$2:$B$73,2,FALSE)</f>
        <v>3</v>
      </c>
      <c r="F46">
        <f>VLOOKUP(C46,Week5!$A$2:$B$67,2,FALSE)</f>
        <v>2</v>
      </c>
      <c r="G46">
        <f>VLOOKUP(C46,Week4!$A$2:$B$64,2,FALSE)</f>
        <v>2</v>
      </c>
      <c r="H46">
        <f>VLOOKUP(C46,Week3!$A$2:$B$61,2,FALSE)</f>
        <v>2</v>
      </c>
      <c r="I46">
        <f>VLOOKUP(C46,Week2!$A$2:$B$48,2,FALSE)</f>
        <v>1</v>
      </c>
      <c r="J46">
        <f>VLOOKUP(C46,Week1!$A$2:$B$31,2,FALSE)</f>
        <v>1</v>
      </c>
      <c r="M46" t="s">
        <v>92</v>
      </c>
      <c r="N46">
        <v>3</v>
      </c>
      <c r="O46">
        <v>3</v>
      </c>
      <c r="P46">
        <v>2</v>
      </c>
      <c r="Q46">
        <v>2</v>
      </c>
      <c r="R46">
        <v>2</v>
      </c>
      <c r="S46">
        <v>1</v>
      </c>
      <c r="T46">
        <v>1</v>
      </c>
      <c r="W46" t="s">
        <v>92</v>
      </c>
      <c r="X46">
        <f t="shared" si="1"/>
        <v>0</v>
      </c>
      <c r="Y46">
        <f t="shared" si="2"/>
        <v>1</v>
      </c>
      <c r="Z46">
        <f t="shared" si="3"/>
        <v>0</v>
      </c>
      <c r="AA46">
        <f t="shared" si="4"/>
        <v>0</v>
      </c>
      <c r="AB46">
        <f t="shared" si="5"/>
        <v>1</v>
      </c>
      <c r="AC46">
        <f t="shared" si="6"/>
        <v>0</v>
      </c>
      <c r="AD46">
        <f t="shared" si="7"/>
        <v>1</v>
      </c>
    </row>
    <row r="47" spans="1:30" x14ac:dyDescent="0.2">
      <c r="A47" s="1">
        <v>45</v>
      </c>
      <c r="B47" t="s">
        <v>93</v>
      </c>
      <c r="C47" t="s">
        <v>94</v>
      </c>
      <c r="D47">
        <v>3</v>
      </c>
      <c r="E47">
        <f>VLOOKUP(C47,Week6!$A$2:$B$73,2,FALSE)</f>
        <v>3</v>
      </c>
      <c r="F47">
        <f>VLOOKUP(C47,Week5!$A$2:$B$67,2,FALSE)</f>
        <v>3</v>
      </c>
      <c r="G47">
        <f>VLOOKUP(C47,Week4!$A$2:$B$64,2,FALSE)</f>
        <v>1</v>
      </c>
      <c r="H47">
        <f>VLOOKUP(C47,Week3!$A$2:$B$61,2,FALSE)</f>
        <v>1</v>
      </c>
      <c r="I47">
        <f>VLOOKUP(C47,Week2!$A$2:$B$48,2,FALSE)</f>
        <v>1</v>
      </c>
      <c r="J47" t="e">
        <f>VLOOKUP(C47,Week1!$A$2:$B$31,2,FALSE)</f>
        <v>#N/A</v>
      </c>
      <c r="M47" t="s">
        <v>94</v>
      </c>
      <c r="N47">
        <v>3</v>
      </c>
      <c r="O47">
        <v>3</v>
      </c>
      <c r="P47">
        <v>3</v>
      </c>
      <c r="Q47">
        <v>1</v>
      </c>
      <c r="R47">
        <v>1</v>
      </c>
      <c r="S47">
        <v>1</v>
      </c>
      <c r="T47">
        <v>0</v>
      </c>
      <c r="W47" t="s">
        <v>94</v>
      </c>
      <c r="X47">
        <f t="shared" si="1"/>
        <v>0</v>
      </c>
      <c r="Y47">
        <f t="shared" si="2"/>
        <v>0</v>
      </c>
      <c r="Z47">
        <f t="shared" si="3"/>
        <v>2</v>
      </c>
      <c r="AA47">
        <f t="shared" si="4"/>
        <v>0</v>
      </c>
      <c r="AB47">
        <f t="shared" si="5"/>
        <v>0</v>
      </c>
      <c r="AC47">
        <f t="shared" si="6"/>
        <v>1</v>
      </c>
      <c r="AD47">
        <f t="shared" si="7"/>
        <v>0</v>
      </c>
    </row>
    <row r="48" spans="1:30" x14ac:dyDescent="0.2">
      <c r="A48" s="1">
        <v>46</v>
      </c>
      <c r="B48" t="s">
        <v>95</v>
      </c>
      <c r="C48" t="s">
        <v>96</v>
      </c>
      <c r="D48">
        <v>3</v>
      </c>
      <c r="E48">
        <f>VLOOKUP(C48,Week6!$A$2:$B$73,2,FALSE)</f>
        <v>3</v>
      </c>
      <c r="F48">
        <f>VLOOKUP(C48,Week5!$A$2:$B$67,2,FALSE)</f>
        <v>3</v>
      </c>
      <c r="G48">
        <f>VLOOKUP(C48,Week4!$A$2:$B$64,2,FALSE)</f>
        <v>3</v>
      </c>
      <c r="H48">
        <f>VLOOKUP(C48,Week3!$A$2:$B$61,2,FALSE)</f>
        <v>2</v>
      </c>
      <c r="I48">
        <f>VLOOKUP(C48,Week2!$A$2:$B$48,2,FALSE)</f>
        <v>2</v>
      </c>
      <c r="J48" t="e">
        <f>VLOOKUP(C48,Week1!$A$2:$B$31,2,FALSE)</f>
        <v>#N/A</v>
      </c>
      <c r="M48" t="s">
        <v>96</v>
      </c>
      <c r="N48">
        <v>3</v>
      </c>
      <c r="O48">
        <v>3</v>
      </c>
      <c r="P48">
        <v>3</v>
      </c>
      <c r="Q48">
        <v>3</v>
      </c>
      <c r="R48">
        <v>2</v>
      </c>
      <c r="S48">
        <v>2</v>
      </c>
      <c r="T48">
        <v>0</v>
      </c>
      <c r="W48" t="s">
        <v>96</v>
      </c>
      <c r="X48">
        <f t="shared" si="1"/>
        <v>0</v>
      </c>
      <c r="Y48">
        <f t="shared" si="2"/>
        <v>0</v>
      </c>
      <c r="Z48">
        <f t="shared" si="3"/>
        <v>0</v>
      </c>
      <c r="AA48">
        <f t="shared" si="4"/>
        <v>1</v>
      </c>
      <c r="AB48">
        <f t="shared" si="5"/>
        <v>0</v>
      </c>
      <c r="AC48">
        <f t="shared" si="6"/>
        <v>2</v>
      </c>
      <c r="AD48">
        <f t="shared" si="7"/>
        <v>0</v>
      </c>
    </row>
    <row r="49" spans="1:30" x14ac:dyDescent="0.2">
      <c r="A49" s="1">
        <v>47</v>
      </c>
      <c r="B49" t="s">
        <v>97</v>
      </c>
      <c r="C49" t="s">
        <v>98</v>
      </c>
      <c r="D49">
        <v>3</v>
      </c>
      <c r="E49">
        <f>VLOOKUP(C49,Week6!$A$2:$B$73,2,FALSE)</f>
        <v>3</v>
      </c>
      <c r="F49">
        <f>VLOOKUP(C49,Week5!$A$2:$B$67,2,FALSE)</f>
        <v>2</v>
      </c>
      <c r="G49">
        <f>VLOOKUP(C49,Week4!$A$2:$B$64,2,FALSE)</f>
        <v>1</v>
      </c>
      <c r="H49">
        <f>VLOOKUP(C49,Week3!$A$2:$B$61,2,FALSE)</f>
        <v>1</v>
      </c>
      <c r="I49">
        <f>VLOOKUP(C49,Week2!$A$2:$B$48,2,FALSE)</f>
        <v>1</v>
      </c>
      <c r="J49">
        <f>VLOOKUP(C49,Week1!$A$2:$B$31,2,FALSE)</f>
        <v>1</v>
      </c>
      <c r="M49" t="s">
        <v>98</v>
      </c>
      <c r="N49">
        <v>3</v>
      </c>
      <c r="O49">
        <v>3</v>
      </c>
      <c r="P49">
        <v>2</v>
      </c>
      <c r="Q49">
        <v>1</v>
      </c>
      <c r="R49">
        <v>1</v>
      </c>
      <c r="S49">
        <v>1</v>
      </c>
      <c r="T49">
        <v>1</v>
      </c>
      <c r="W49" t="s">
        <v>98</v>
      </c>
      <c r="X49">
        <f t="shared" si="1"/>
        <v>0</v>
      </c>
      <c r="Y49">
        <f t="shared" si="2"/>
        <v>1</v>
      </c>
      <c r="Z49">
        <f t="shared" si="3"/>
        <v>1</v>
      </c>
      <c r="AA49">
        <f t="shared" si="4"/>
        <v>0</v>
      </c>
      <c r="AB49">
        <f t="shared" si="5"/>
        <v>0</v>
      </c>
      <c r="AC49">
        <f t="shared" si="6"/>
        <v>0</v>
      </c>
      <c r="AD49">
        <f t="shared" si="7"/>
        <v>1</v>
      </c>
    </row>
    <row r="50" spans="1:30" x14ac:dyDescent="0.2">
      <c r="A50" s="1">
        <v>48</v>
      </c>
      <c r="B50" t="s">
        <v>99</v>
      </c>
      <c r="C50" t="s">
        <v>100</v>
      </c>
      <c r="D50">
        <v>3</v>
      </c>
      <c r="E50">
        <f>VLOOKUP(C50,Week6!$A$2:$B$73,2,FALSE)</f>
        <v>3</v>
      </c>
      <c r="F50" t="e">
        <f>VLOOKUP(C50,Week5!$A$2:$B$67,2,FALSE)</f>
        <v>#N/A</v>
      </c>
      <c r="G50" t="e">
        <f>VLOOKUP(C50,Week4!$A$2:$B$64,2,FALSE)</f>
        <v>#N/A</v>
      </c>
      <c r="H50" t="e">
        <f>VLOOKUP(C50,Week3!$A$2:$B$61,2,FALSE)</f>
        <v>#N/A</v>
      </c>
      <c r="I50" t="e">
        <f>VLOOKUP(C50,Week2!$A$2:$B$48,2,FALSE)</f>
        <v>#N/A</v>
      </c>
      <c r="J50" t="e">
        <f>VLOOKUP(C50,Week1!$A$2:$B$31,2,FALSE)</f>
        <v>#N/A</v>
      </c>
      <c r="M50" t="s">
        <v>100</v>
      </c>
      <c r="N50">
        <v>3</v>
      </c>
      <c r="O50">
        <v>3</v>
      </c>
      <c r="P50">
        <v>0</v>
      </c>
      <c r="Q50">
        <v>0</v>
      </c>
      <c r="R50">
        <v>0</v>
      </c>
      <c r="S50">
        <v>0</v>
      </c>
      <c r="T50">
        <v>0</v>
      </c>
      <c r="W50" t="s">
        <v>100</v>
      </c>
      <c r="X50">
        <f t="shared" si="1"/>
        <v>0</v>
      </c>
      <c r="Y50">
        <f t="shared" si="2"/>
        <v>3</v>
      </c>
      <c r="Z50">
        <f t="shared" si="3"/>
        <v>0</v>
      </c>
      <c r="AA50">
        <f t="shared" si="4"/>
        <v>0</v>
      </c>
      <c r="AB50">
        <f t="shared" si="5"/>
        <v>0</v>
      </c>
      <c r="AC50">
        <f t="shared" si="6"/>
        <v>0</v>
      </c>
      <c r="AD50">
        <f t="shared" si="7"/>
        <v>0</v>
      </c>
    </row>
    <row r="51" spans="1:30" x14ac:dyDescent="0.2">
      <c r="A51" s="1">
        <v>49</v>
      </c>
      <c r="B51" t="s">
        <v>101</v>
      </c>
      <c r="C51" t="s">
        <v>102</v>
      </c>
      <c r="D51">
        <v>3</v>
      </c>
      <c r="E51">
        <f>VLOOKUP(C51,Week6!$A$2:$B$73,2,FALSE)</f>
        <v>2</v>
      </c>
      <c r="F51">
        <f>VLOOKUP(C51,Week5!$A$2:$B$67,2,FALSE)</f>
        <v>2</v>
      </c>
      <c r="G51">
        <f>VLOOKUP(C51,Week4!$A$2:$B$64,2,FALSE)</f>
        <v>2</v>
      </c>
      <c r="H51">
        <f>VLOOKUP(C51,Week3!$A$2:$B$61,2,FALSE)</f>
        <v>2</v>
      </c>
      <c r="I51">
        <f>VLOOKUP(C51,Week2!$A$2:$B$48,2,FALSE)</f>
        <v>2</v>
      </c>
      <c r="J51">
        <f>VLOOKUP(C51,Week1!$A$2:$B$31,2,FALSE)</f>
        <v>2</v>
      </c>
      <c r="M51" t="s">
        <v>102</v>
      </c>
      <c r="N51">
        <v>3</v>
      </c>
      <c r="O51">
        <v>2</v>
      </c>
      <c r="P51">
        <v>2</v>
      </c>
      <c r="Q51">
        <v>2</v>
      </c>
      <c r="R51">
        <v>2</v>
      </c>
      <c r="S51">
        <v>2</v>
      </c>
      <c r="T51">
        <v>2</v>
      </c>
      <c r="W51" t="s">
        <v>102</v>
      </c>
      <c r="X51">
        <f t="shared" si="1"/>
        <v>1</v>
      </c>
      <c r="Y51">
        <f t="shared" si="2"/>
        <v>0</v>
      </c>
      <c r="Z51">
        <f t="shared" si="3"/>
        <v>0</v>
      </c>
      <c r="AA51">
        <f t="shared" si="4"/>
        <v>0</v>
      </c>
      <c r="AB51">
        <f t="shared" si="5"/>
        <v>0</v>
      </c>
      <c r="AC51">
        <f t="shared" si="6"/>
        <v>0</v>
      </c>
      <c r="AD51">
        <f t="shared" si="7"/>
        <v>2</v>
      </c>
    </row>
    <row r="52" spans="1:30" x14ac:dyDescent="0.2">
      <c r="A52" s="1">
        <v>50</v>
      </c>
      <c r="B52" t="s">
        <v>103</v>
      </c>
      <c r="C52" t="s">
        <v>104</v>
      </c>
      <c r="D52">
        <v>3</v>
      </c>
      <c r="E52">
        <f>VLOOKUP(C52,Week6!$A$2:$B$73,2,FALSE)</f>
        <v>3</v>
      </c>
      <c r="F52">
        <f>VLOOKUP(C52,Week5!$A$2:$B$67,2,FALSE)</f>
        <v>1</v>
      </c>
      <c r="G52">
        <f>VLOOKUP(C52,Week4!$A$2:$B$64,2,FALSE)</f>
        <v>1</v>
      </c>
      <c r="H52">
        <f>VLOOKUP(C52,Week3!$A$2:$B$61,2,FALSE)</f>
        <v>1</v>
      </c>
      <c r="I52" t="e">
        <f>VLOOKUP(C52,Week2!$A$2:$B$48,2,FALSE)</f>
        <v>#N/A</v>
      </c>
      <c r="J52" t="e">
        <f>VLOOKUP(C52,Week1!$A$2:$B$31,2,FALSE)</f>
        <v>#N/A</v>
      </c>
      <c r="M52" t="s">
        <v>104</v>
      </c>
      <c r="N52">
        <v>3</v>
      </c>
      <c r="O52">
        <v>3</v>
      </c>
      <c r="P52">
        <v>1</v>
      </c>
      <c r="Q52">
        <v>1</v>
      </c>
      <c r="R52">
        <v>1</v>
      </c>
      <c r="S52">
        <v>0</v>
      </c>
      <c r="T52">
        <v>0</v>
      </c>
      <c r="W52" t="s">
        <v>104</v>
      </c>
      <c r="X52">
        <f t="shared" si="1"/>
        <v>0</v>
      </c>
      <c r="Y52">
        <f t="shared" si="2"/>
        <v>2</v>
      </c>
      <c r="Z52">
        <f t="shared" si="3"/>
        <v>0</v>
      </c>
      <c r="AA52">
        <f t="shared" si="4"/>
        <v>0</v>
      </c>
      <c r="AB52">
        <f t="shared" si="5"/>
        <v>1</v>
      </c>
      <c r="AC52">
        <f t="shared" si="6"/>
        <v>0</v>
      </c>
      <c r="AD52">
        <f t="shared" si="7"/>
        <v>0</v>
      </c>
    </row>
    <row r="53" spans="1:30" x14ac:dyDescent="0.2">
      <c r="A53" s="1">
        <v>51</v>
      </c>
      <c r="B53" t="s">
        <v>105</v>
      </c>
      <c r="C53" t="s">
        <v>106</v>
      </c>
      <c r="D53">
        <v>2</v>
      </c>
      <c r="E53">
        <f>VLOOKUP(C53,Week6!$A$2:$B$73,2,FALSE)</f>
        <v>2</v>
      </c>
      <c r="F53">
        <f>VLOOKUP(C53,Week5!$A$2:$B$67,2,FALSE)</f>
        <v>2</v>
      </c>
      <c r="G53">
        <f>VLOOKUP(C53,Week4!$A$2:$B$64,2,FALSE)</f>
        <v>2</v>
      </c>
      <c r="H53">
        <f>VLOOKUP(C53,Week3!$A$2:$B$61,2,FALSE)</f>
        <v>2</v>
      </c>
      <c r="I53" t="e">
        <f>VLOOKUP(C53,Week2!$A$2:$B$48,2,FALSE)</f>
        <v>#N/A</v>
      </c>
      <c r="J53" t="e">
        <f>VLOOKUP(C53,Week1!$A$2:$B$31,2,FALSE)</f>
        <v>#N/A</v>
      </c>
      <c r="M53" t="s">
        <v>106</v>
      </c>
      <c r="N53">
        <v>2</v>
      </c>
      <c r="O53">
        <v>2</v>
      </c>
      <c r="P53">
        <v>2</v>
      </c>
      <c r="Q53">
        <v>2</v>
      </c>
      <c r="R53">
        <v>2</v>
      </c>
      <c r="S53">
        <v>0</v>
      </c>
      <c r="T53">
        <v>0</v>
      </c>
      <c r="W53" t="s">
        <v>106</v>
      </c>
      <c r="X53">
        <f t="shared" si="1"/>
        <v>0</v>
      </c>
      <c r="Y53">
        <f t="shared" si="2"/>
        <v>0</v>
      </c>
      <c r="Z53">
        <f t="shared" si="3"/>
        <v>0</v>
      </c>
      <c r="AA53">
        <f t="shared" si="4"/>
        <v>0</v>
      </c>
      <c r="AB53">
        <f t="shared" si="5"/>
        <v>2</v>
      </c>
      <c r="AC53">
        <f t="shared" si="6"/>
        <v>0</v>
      </c>
      <c r="AD53">
        <f t="shared" si="7"/>
        <v>0</v>
      </c>
    </row>
    <row r="54" spans="1:30" x14ac:dyDescent="0.2">
      <c r="A54" s="1">
        <v>52</v>
      </c>
      <c r="B54" t="s">
        <v>107</v>
      </c>
      <c r="C54" t="s">
        <v>108</v>
      </c>
      <c r="D54">
        <v>2</v>
      </c>
      <c r="E54" t="e">
        <f>VLOOKUP(C54,Week6!$A$2:$B$73,2,FALSE)</f>
        <v>#N/A</v>
      </c>
      <c r="F54" t="e">
        <f>VLOOKUP(C54,Week5!$A$2:$B$67,2,FALSE)</f>
        <v>#N/A</v>
      </c>
      <c r="G54" t="e">
        <f>VLOOKUP(C54,Week4!$A$2:$B$64,2,FALSE)</f>
        <v>#N/A</v>
      </c>
      <c r="H54" t="e">
        <f>VLOOKUP(C54,Week3!$A$2:$B$61,2,FALSE)</f>
        <v>#N/A</v>
      </c>
      <c r="I54" t="e">
        <f>VLOOKUP(C54,Week2!$A$2:$B$48,2,FALSE)</f>
        <v>#N/A</v>
      </c>
      <c r="J54" t="e">
        <f>VLOOKUP(C54,Week1!$A$2:$B$31,2,FALSE)</f>
        <v>#N/A</v>
      </c>
      <c r="M54" t="s">
        <v>108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W54" t="s">
        <v>108</v>
      </c>
      <c r="X54">
        <f t="shared" si="1"/>
        <v>2</v>
      </c>
      <c r="Y54">
        <f t="shared" si="2"/>
        <v>0</v>
      </c>
      <c r="Z54">
        <f t="shared" si="3"/>
        <v>0</v>
      </c>
      <c r="AA54">
        <f t="shared" si="4"/>
        <v>0</v>
      </c>
      <c r="AB54">
        <f t="shared" si="5"/>
        <v>0</v>
      </c>
      <c r="AC54">
        <f t="shared" si="6"/>
        <v>0</v>
      </c>
      <c r="AD54">
        <f t="shared" si="7"/>
        <v>0</v>
      </c>
    </row>
    <row r="55" spans="1:30" x14ac:dyDescent="0.2">
      <c r="A55" s="1">
        <v>53</v>
      </c>
      <c r="B55" t="s">
        <v>109</v>
      </c>
      <c r="C55" t="s">
        <v>110</v>
      </c>
      <c r="D55">
        <v>2</v>
      </c>
      <c r="E55">
        <f>VLOOKUP(C55,Week6!$A$2:$B$73,2,FALSE)</f>
        <v>2</v>
      </c>
      <c r="F55">
        <f>VLOOKUP(C55,Week5!$A$2:$B$67,2,FALSE)</f>
        <v>1</v>
      </c>
      <c r="G55" t="e">
        <f>VLOOKUP(C55,Week4!$A$2:$B$64,2,FALSE)</f>
        <v>#N/A</v>
      </c>
      <c r="H55" t="e">
        <f>VLOOKUP(C55,Week3!$A$2:$B$61,2,FALSE)</f>
        <v>#N/A</v>
      </c>
      <c r="I55" t="e">
        <f>VLOOKUP(C55,Week2!$A$2:$B$48,2,FALSE)</f>
        <v>#N/A</v>
      </c>
      <c r="J55" t="e">
        <f>VLOOKUP(C55,Week1!$A$2:$B$31,2,FALSE)</f>
        <v>#N/A</v>
      </c>
      <c r="M55" t="s">
        <v>110</v>
      </c>
      <c r="N55">
        <v>2</v>
      </c>
      <c r="O55">
        <v>2</v>
      </c>
      <c r="P55">
        <v>1</v>
      </c>
      <c r="Q55">
        <v>0</v>
      </c>
      <c r="R55">
        <v>0</v>
      </c>
      <c r="S55">
        <v>0</v>
      </c>
      <c r="T55">
        <v>0</v>
      </c>
      <c r="W55" t="s">
        <v>110</v>
      </c>
      <c r="X55">
        <f t="shared" si="1"/>
        <v>0</v>
      </c>
      <c r="Y55">
        <f t="shared" si="2"/>
        <v>1</v>
      </c>
      <c r="Z55">
        <f t="shared" si="3"/>
        <v>1</v>
      </c>
      <c r="AA55">
        <f t="shared" si="4"/>
        <v>0</v>
      </c>
      <c r="AB55">
        <f t="shared" si="5"/>
        <v>0</v>
      </c>
      <c r="AC55">
        <f t="shared" si="6"/>
        <v>0</v>
      </c>
      <c r="AD55">
        <f t="shared" si="7"/>
        <v>0</v>
      </c>
    </row>
    <row r="56" spans="1:30" x14ac:dyDescent="0.2">
      <c r="A56" s="1">
        <v>54</v>
      </c>
      <c r="B56" t="s">
        <v>111</v>
      </c>
      <c r="C56" t="s">
        <v>112</v>
      </c>
      <c r="D56">
        <v>2</v>
      </c>
      <c r="E56">
        <f>VLOOKUP(C56,Week6!$A$2:$B$73,2,FALSE)</f>
        <v>2</v>
      </c>
      <c r="F56">
        <f>VLOOKUP(C56,Week5!$A$2:$B$67,2,FALSE)</f>
        <v>2</v>
      </c>
      <c r="G56">
        <f>VLOOKUP(C56,Week4!$A$2:$B$64,2,FALSE)</f>
        <v>2</v>
      </c>
      <c r="H56" t="e">
        <f>VLOOKUP(C56,Week3!$A$2:$B$61,2,FALSE)</f>
        <v>#N/A</v>
      </c>
      <c r="I56" t="e">
        <f>VLOOKUP(C56,Week2!$A$2:$B$48,2,FALSE)</f>
        <v>#N/A</v>
      </c>
      <c r="J56" t="e">
        <f>VLOOKUP(C56,Week1!$A$2:$B$31,2,FALSE)</f>
        <v>#N/A</v>
      </c>
      <c r="M56" t="s">
        <v>112</v>
      </c>
      <c r="N56">
        <v>2</v>
      </c>
      <c r="O56">
        <v>2</v>
      </c>
      <c r="P56">
        <v>2</v>
      </c>
      <c r="Q56">
        <v>2</v>
      </c>
      <c r="R56">
        <v>0</v>
      </c>
      <c r="S56">
        <v>0</v>
      </c>
      <c r="T56">
        <v>0</v>
      </c>
      <c r="W56" t="s">
        <v>112</v>
      </c>
      <c r="X56">
        <f t="shared" si="1"/>
        <v>0</v>
      </c>
      <c r="Y56">
        <f t="shared" si="2"/>
        <v>0</v>
      </c>
      <c r="Z56">
        <f t="shared" si="3"/>
        <v>0</v>
      </c>
      <c r="AA56">
        <f t="shared" si="4"/>
        <v>2</v>
      </c>
      <c r="AB56">
        <f t="shared" si="5"/>
        <v>0</v>
      </c>
      <c r="AC56">
        <f t="shared" si="6"/>
        <v>0</v>
      </c>
      <c r="AD56">
        <f t="shared" si="7"/>
        <v>0</v>
      </c>
    </row>
    <row r="57" spans="1:30" x14ac:dyDescent="0.2">
      <c r="A57" s="1">
        <v>55</v>
      </c>
      <c r="B57" t="s">
        <v>113</v>
      </c>
      <c r="C57" t="s">
        <v>114</v>
      </c>
      <c r="D57">
        <v>2</v>
      </c>
      <c r="E57">
        <f>VLOOKUP(C57,Week6!$A$2:$B$73,2,FALSE)</f>
        <v>1</v>
      </c>
      <c r="F57">
        <f>VLOOKUP(C57,Week5!$A$2:$B$67,2,FALSE)</f>
        <v>1</v>
      </c>
      <c r="G57">
        <f>VLOOKUP(C57,Week4!$A$2:$B$64,2,FALSE)</f>
        <v>1</v>
      </c>
      <c r="H57">
        <f>VLOOKUP(C57,Week3!$A$2:$B$61,2,FALSE)</f>
        <v>1</v>
      </c>
      <c r="I57">
        <f>VLOOKUP(C57,Week2!$A$2:$B$48,2,FALSE)</f>
        <v>1</v>
      </c>
      <c r="J57" t="e">
        <f>VLOOKUP(C57,Week1!$A$2:$B$31,2,FALSE)</f>
        <v>#N/A</v>
      </c>
      <c r="M57" t="s">
        <v>114</v>
      </c>
      <c r="N57">
        <v>2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W57" t="s">
        <v>114</v>
      </c>
      <c r="X57">
        <f t="shared" si="1"/>
        <v>1</v>
      </c>
      <c r="Y57">
        <f t="shared" si="2"/>
        <v>0</v>
      </c>
      <c r="Z57">
        <f t="shared" si="3"/>
        <v>0</v>
      </c>
      <c r="AA57">
        <f t="shared" si="4"/>
        <v>0</v>
      </c>
      <c r="AB57">
        <f t="shared" si="5"/>
        <v>0</v>
      </c>
      <c r="AC57">
        <f t="shared" si="6"/>
        <v>1</v>
      </c>
      <c r="AD57">
        <f t="shared" si="7"/>
        <v>0</v>
      </c>
    </row>
    <row r="58" spans="1:30" x14ac:dyDescent="0.2">
      <c r="A58" s="1">
        <v>56</v>
      </c>
      <c r="B58" t="s">
        <v>115</v>
      </c>
      <c r="C58" t="s">
        <v>116</v>
      </c>
      <c r="D58">
        <v>2</v>
      </c>
      <c r="E58" t="e">
        <f>VLOOKUP(C58,Week6!$A$2:$B$73,2,FALSE)</f>
        <v>#N/A</v>
      </c>
      <c r="F58" t="e">
        <f>VLOOKUP(C58,Week5!$A$2:$B$67,2,FALSE)</f>
        <v>#N/A</v>
      </c>
      <c r="G58" t="e">
        <f>VLOOKUP(C58,Week4!$A$2:$B$64,2,FALSE)</f>
        <v>#N/A</v>
      </c>
      <c r="H58" t="e">
        <f>VLOOKUP(C58,Week3!$A$2:$B$61,2,FALSE)</f>
        <v>#N/A</v>
      </c>
      <c r="I58" t="e">
        <f>VLOOKUP(C58,Week2!$A$2:$B$48,2,FALSE)</f>
        <v>#N/A</v>
      </c>
      <c r="J58" t="e">
        <f>VLOOKUP(C58,Week1!$A$2:$B$31,2,FALSE)</f>
        <v>#N/A</v>
      </c>
      <c r="M58" t="s">
        <v>116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W58" t="s">
        <v>116</v>
      </c>
      <c r="X58">
        <f t="shared" si="1"/>
        <v>2</v>
      </c>
      <c r="Y58">
        <f t="shared" si="2"/>
        <v>0</v>
      </c>
      <c r="Z58">
        <f t="shared" si="3"/>
        <v>0</v>
      </c>
      <c r="AA58">
        <f t="shared" si="4"/>
        <v>0</v>
      </c>
      <c r="AB58">
        <f t="shared" si="5"/>
        <v>0</v>
      </c>
      <c r="AC58">
        <f t="shared" si="6"/>
        <v>0</v>
      </c>
      <c r="AD58">
        <f t="shared" si="7"/>
        <v>0</v>
      </c>
    </row>
    <row r="59" spans="1:30" x14ac:dyDescent="0.2">
      <c r="A59" s="1">
        <v>57</v>
      </c>
      <c r="B59" t="s">
        <v>117</v>
      </c>
      <c r="C59" t="s">
        <v>118</v>
      </c>
      <c r="D59">
        <v>2</v>
      </c>
      <c r="E59">
        <f>VLOOKUP(C59,Week6!$A$2:$B$73,2,FALSE)</f>
        <v>2</v>
      </c>
      <c r="F59">
        <f>VLOOKUP(C59,Week5!$A$2:$B$67,2,FALSE)</f>
        <v>2</v>
      </c>
      <c r="G59">
        <f>VLOOKUP(C59,Week4!$A$2:$B$64,2,FALSE)</f>
        <v>1</v>
      </c>
      <c r="H59">
        <f>VLOOKUP(C59,Week3!$A$2:$B$61,2,FALSE)</f>
        <v>1</v>
      </c>
      <c r="I59">
        <f>VLOOKUP(C59,Week2!$A$2:$B$48,2,FALSE)</f>
        <v>1</v>
      </c>
      <c r="J59" t="e">
        <f>VLOOKUP(C59,Week1!$A$2:$B$31,2,FALSE)</f>
        <v>#N/A</v>
      </c>
      <c r="M59" t="s">
        <v>118</v>
      </c>
      <c r="N59">
        <v>2</v>
      </c>
      <c r="O59">
        <v>2</v>
      </c>
      <c r="P59">
        <v>2</v>
      </c>
      <c r="Q59">
        <v>1</v>
      </c>
      <c r="R59">
        <v>1</v>
      </c>
      <c r="S59">
        <v>1</v>
      </c>
      <c r="T59">
        <v>0</v>
      </c>
      <c r="W59" t="s">
        <v>118</v>
      </c>
      <c r="X59">
        <f t="shared" si="1"/>
        <v>0</v>
      </c>
      <c r="Y59">
        <f t="shared" si="2"/>
        <v>0</v>
      </c>
      <c r="Z59">
        <f t="shared" si="3"/>
        <v>1</v>
      </c>
      <c r="AA59">
        <f t="shared" si="4"/>
        <v>0</v>
      </c>
      <c r="AB59">
        <f t="shared" si="5"/>
        <v>0</v>
      </c>
      <c r="AC59">
        <f t="shared" si="6"/>
        <v>1</v>
      </c>
      <c r="AD59">
        <f t="shared" si="7"/>
        <v>0</v>
      </c>
    </row>
    <row r="60" spans="1:30" x14ac:dyDescent="0.2">
      <c r="A60" s="1">
        <v>58</v>
      </c>
      <c r="B60" t="s">
        <v>119</v>
      </c>
      <c r="C60" t="s">
        <v>120</v>
      </c>
      <c r="D60">
        <v>2</v>
      </c>
      <c r="E60">
        <f>VLOOKUP(C60,Week6!$A$2:$B$73,2,FALSE)</f>
        <v>2</v>
      </c>
      <c r="F60">
        <f>VLOOKUP(C60,Week5!$A$2:$B$67,2,FALSE)</f>
        <v>2</v>
      </c>
      <c r="G60">
        <f>VLOOKUP(C60,Week4!$A$2:$B$64,2,FALSE)</f>
        <v>2</v>
      </c>
      <c r="H60">
        <f>VLOOKUP(C60,Week3!$A$2:$B$61,2,FALSE)</f>
        <v>2</v>
      </c>
      <c r="I60" t="e">
        <f>VLOOKUP(C60,Week2!$A$2:$B$48,2,FALSE)</f>
        <v>#N/A</v>
      </c>
      <c r="J60" t="e">
        <f>VLOOKUP(C60,Week1!$A$2:$B$31,2,FALSE)</f>
        <v>#N/A</v>
      </c>
      <c r="M60" t="s">
        <v>120</v>
      </c>
      <c r="N60">
        <v>2</v>
      </c>
      <c r="O60">
        <v>2</v>
      </c>
      <c r="P60">
        <v>2</v>
      </c>
      <c r="Q60">
        <v>2</v>
      </c>
      <c r="R60">
        <v>2</v>
      </c>
      <c r="S60">
        <v>0</v>
      </c>
      <c r="T60">
        <v>0</v>
      </c>
      <c r="W60" t="s">
        <v>120</v>
      </c>
      <c r="X60">
        <f t="shared" si="1"/>
        <v>0</v>
      </c>
      <c r="Y60">
        <f t="shared" si="2"/>
        <v>0</v>
      </c>
      <c r="Z60">
        <f t="shared" si="3"/>
        <v>0</v>
      </c>
      <c r="AA60">
        <f t="shared" si="4"/>
        <v>0</v>
      </c>
      <c r="AB60">
        <f t="shared" si="5"/>
        <v>2</v>
      </c>
      <c r="AC60">
        <f t="shared" si="6"/>
        <v>0</v>
      </c>
      <c r="AD60">
        <f t="shared" si="7"/>
        <v>0</v>
      </c>
    </row>
    <row r="61" spans="1:30" x14ac:dyDescent="0.2">
      <c r="A61" s="1">
        <v>59</v>
      </c>
      <c r="B61" t="s">
        <v>121</v>
      </c>
      <c r="C61" t="s">
        <v>122</v>
      </c>
      <c r="D61">
        <v>2</v>
      </c>
      <c r="E61">
        <f>VLOOKUP(C61,Week6!$A$2:$B$73,2,FALSE)</f>
        <v>2</v>
      </c>
      <c r="F61">
        <f>VLOOKUP(C61,Week5!$A$2:$B$67,2,FALSE)</f>
        <v>2</v>
      </c>
      <c r="G61">
        <f>VLOOKUP(C61,Week4!$A$2:$B$64,2,FALSE)</f>
        <v>2</v>
      </c>
      <c r="H61">
        <f>VLOOKUP(C61,Week3!$A$2:$B$61,2,FALSE)</f>
        <v>2</v>
      </c>
      <c r="I61">
        <f>VLOOKUP(C61,Week2!$A$2:$B$48,2,FALSE)</f>
        <v>1</v>
      </c>
      <c r="J61" t="e">
        <f>VLOOKUP(C61,Week1!$A$2:$B$31,2,FALSE)</f>
        <v>#N/A</v>
      </c>
      <c r="M61" t="s">
        <v>122</v>
      </c>
      <c r="N61">
        <v>2</v>
      </c>
      <c r="O61">
        <v>2</v>
      </c>
      <c r="P61">
        <v>2</v>
      </c>
      <c r="Q61">
        <v>2</v>
      </c>
      <c r="R61">
        <v>2</v>
      </c>
      <c r="S61">
        <v>1</v>
      </c>
      <c r="T61">
        <v>0</v>
      </c>
      <c r="W61" t="s">
        <v>122</v>
      </c>
      <c r="X61">
        <f t="shared" si="1"/>
        <v>0</v>
      </c>
      <c r="Y61">
        <f t="shared" si="2"/>
        <v>0</v>
      </c>
      <c r="Z61">
        <f t="shared" si="3"/>
        <v>0</v>
      </c>
      <c r="AA61">
        <f t="shared" si="4"/>
        <v>0</v>
      </c>
      <c r="AB61">
        <f t="shared" si="5"/>
        <v>1</v>
      </c>
      <c r="AC61">
        <f t="shared" si="6"/>
        <v>1</v>
      </c>
      <c r="AD61">
        <f t="shared" si="7"/>
        <v>0</v>
      </c>
    </row>
    <row r="62" spans="1:30" x14ac:dyDescent="0.2">
      <c r="A62" s="1">
        <v>60</v>
      </c>
      <c r="B62" t="s">
        <v>123</v>
      </c>
      <c r="C62" t="s">
        <v>124</v>
      </c>
      <c r="D62">
        <v>1</v>
      </c>
      <c r="E62">
        <f>VLOOKUP(C62,Week6!$A$2:$B$73,2,FALSE)</f>
        <v>1</v>
      </c>
      <c r="F62">
        <f>VLOOKUP(C62,Week5!$A$2:$B$67,2,FALSE)</f>
        <v>1</v>
      </c>
      <c r="G62">
        <f>VLOOKUP(C62,Week4!$A$2:$B$64,2,FALSE)</f>
        <v>1</v>
      </c>
      <c r="H62">
        <f>VLOOKUP(C62,Week3!$A$2:$B$61,2,FALSE)</f>
        <v>1</v>
      </c>
      <c r="I62">
        <f>VLOOKUP(C62,Week2!$A$2:$B$48,2,FALSE)</f>
        <v>1</v>
      </c>
      <c r="J62" t="e">
        <f>VLOOKUP(C62,Week1!$A$2:$B$31,2,FALSE)</f>
        <v>#N/A</v>
      </c>
      <c r="M62" t="s">
        <v>124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W62" t="s">
        <v>124</v>
      </c>
      <c r="X62">
        <f t="shared" si="1"/>
        <v>0</v>
      </c>
      <c r="Y62">
        <f t="shared" si="2"/>
        <v>0</v>
      </c>
      <c r="Z62">
        <f t="shared" si="3"/>
        <v>0</v>
      </c>
      <c r="AA62">
        <f t="shared" si="4"/>
        <v>0</v>
      </c>
      <c r="AB62">
        <f t="shared" si="5"/>
        <v>0</v>
      </c>
      <c r="AC62">
        <f t="shared" si="6"/>
        <v>1</v>
      </c>
      <c r="AD62">
        <f t="shared" si="7"/>
        <v>0</v>
      </c>
    </row>
    <row r="63" spans="1:30" x14ac:dyDescent="0.2">
      <c r="A63" s="1">
        <v>61</v>
      </c>
      <c r="B63" t="s">
        <v>125</v>
      </c>
      <c r="C63" t="s">
        <v>126</v>
      </c>
      <c r="D63">
        <v>1</v>
      </c>
      <c r="E63">
        <f>VLOOKUP(C63,Week6!$A$2:$B$73,2,FALSE)</f>
        <v>1</v>
      </c>
      <c r="F63">
        <f>VLOOKUP(C63,Week5!$A$2:$B$67,2,FALSE)</f>
        <v>1</v>
      </c>
      <c r="G63">
        <f>VLOOKUP(C63,Week4!$A$2:$B$64,2,FALSE)</f>
        <v>1</v>
      </c>
      <c r="H63">
        <f>VLOOKUP(C63,Week3!$A$2:$B$61,2,FALSE)</f>
        <v>1</v>
      </c>
      <c r="I63">
        <f>VLOOKUP(C63,Week2!$A$2:$B$48,2,FALSE)</f>
        <v>1</v>
      </c>
      <c r="J63" t="e">
        <f>VLOOKUP(C63,Week1!$A$2:$B$31,2,FALSE)</f>
        <v>#N/A</v>
      </c>
      <c r="M63" t="s">
        <v>126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W63" t="s">
        <v>126</v>
      </c>
      <c r="X63">
        <f t="shared" si="1"/>
        <v>0</v>
      </c>
      <c r="Y63">
        <f t="shared" si="2"/>
        <v>0</v>
      </c>
      <c r="Z63">
        <f t="shared" si="3"/>
        <v>0</v>
      </c>
      <c r="AA63">
        <f t="shared" si="4"/>
        <v>0</v>
      </c>
      <c r="AB63">
        <f t="shared" si="5"/>
        <v>0</v>
      </c>
      <c r="AC63">
        <f t="shared" si="6"/>
        <v>1</v>
      </c>
      <c r="AD63">
        <f t="shared" si="7"/>
        <v>0</v>
      </c>
    </row>
    <row r="64" spans="1:30" x14ac:dyDescent="0.2">
      <c r="A64" s="1">
        <v>62</v>
      </c>
      <c r="B64" t="s">
        <v>127</v>
      </c>
      <c r="C64" t="s">
        <v>128</v>
      </c>
      <c r="D64">
        <v>1</v>
      </c>
      <c r="E64">
        <f>VLOOKUP(C64,Week6!$A$2:$B$73,2,FALSE)</f>
        <v>1</v>
      </c>
      <c r="F64">
        <f>VLOOKUP(C64,Week5!$A$2:$B$67,2,FALSE)</f>
        <v>1</v>
      </c>
      <c r="G64">
        <f>VLOOKUP(C64,Week4!$A$2:$B$64,2,FALSE)</f>
        <v>1</v>
      </c>
      <c r="H64">
        <f>VLOOKUP(C64,Week3!$A$2:$B$61,2,FALSE)</f>
        <v>1</v>
      </c>
      <c r="I64" t="e">
        <f>VLOOKUP(C64,Week2!$A$2:$B$48,2,FALSE)</f>
        <v>#N/A</v>
      </c>
      <c r="J64" t="e">
        <f>VLOOKUP(C64,Week1!$A$2:$B$31,2,FALSE)</f>
        <v>#N/A</v>
      </c>
      <c r="M64" t="s">
        <v>128</v>
      </c>
      <c r="N64">
        <v>1</v>
      </c>
      <c r="O64">
        <v>1</v>
      </c>
      <c r="P64">
        <v>1</v>
      </c>
      <c r="Q64">
        <v>1</v>
      </c>
      <c r="R64">
        <v>1</v>
      </c>
      <c r="S64">
        <v>0</v>
      </c>
      <c r="T64">
        <v>0</v>
      </c>
      <c r="W64" t="s">
        <v>128</v>
      </c>
      <c r="X64">
        <f t="shared" si="1"/>
        <v>0</v>
      </c>
      <c r="Y64">
        <f t="shared" si="2"/>
        <v>0</v>
      </c>
      <c r="Z64">
        <f t="shared" si="3"/>
        <v>0</v>
      </c>
      <c r="AA64">
        <f t="shared" si="4"/>
        <v>0</v>
      </c>
      <c r="AB64">
        <f t="shared" si="5"/>
        <v>1</v>
      </c>
      <c r="AC64">
        <f t="shared" si="6"/>
        <v>0</v>
      </c>
      <c r="AD64">
        <f t="shared" si="7"/>
        <v>0</v>
      </c>
    </row>
    <row r="65" spans="1:30" x14ac:dyDescent="0.2">
      <c r="A65" s="1">
        <v>63</v>
      </c>
      <c r="B65" t="s">
        <v>129</v>
      </c>
      <c r="C65" t="s">
        <v>130</v>
      </c>
      <c r="D65">
        <v>1</v>
      </c>
      <c r="E65">
        <f>VLOOKUP(C65,Week6!$A$2:$B$73,2,FALSE)</f>
        <v>1</v>
      </c>
      <c r="F65">
        <f>VLOOKUP(C65,Week5!$A$2:$B$67,2,FALSE)</f>
        <v>1</v>
      </c>
      <c r="G65">
        <f>VLOOKUP(C65,Week4!$A$2:$B$64,2,FALSE)</f>
        <v>1</v>
      </c>
      <c r="H65">
        <f>VLOOKUP(C65,Week3!$A$2:$B$61,2,FALSE)</f>
        <v>1</v>
      </c>
      <c r="I65" t="e">
        <f>VLOOKUP(C65,Week2!$A$2:$B$48,2,FALSE)</f>
        <v>#N/A</v>
      </c>
      <c r="J65" t="e">
        <f>VLOOKUP(C65,Week1!$A$2:$B$31,2,FALSE)</f>
        <v>#N/A</v>
      </c>
      <c r="M65" t="s">
        <v>130</v>
      </c>
      <c r="N65">
        <v>1</v>
      </c>
      <c r="O65">
        <v>1</v>
      </c>
      <c r="P65">
        <v>1</v>
      </c>
      <c r="Q65">
        <v>1</v>
      </c>
      <c r="R65">
        <v>1</v>
      </c>
      <c r="S65">
        <v>0</v>
      </c>
      <c r="T65">
        <v>0</v>
      </c>
      <c r="W65" t="s">
        <v>130</v>
      </c>
      <c r="X65">
        <f t="shared" si="1"/>
        <v>0</v>
      </c>
      <c r="Y65">
        <f t="shared" si="2"/>
        <v>0</v>
      </c>
      <c r="Z65">
        <f t="shared" si="3"/>
        <v>0</v>
      </c>
      <c r="AA65">
        <f t="shared" si="4"/>
        <v>0</v>
      </c>
      <c r="AB65">
        <f t="shared" si="5"/>
        <v>1</v>
      </c>
      <c r="AC65">
        <f t="shared" si="6"/>
        <v>0</v>
      </c>
      <c r="AD65">
        <f t="shared" si="7"/>
        <v>0</v>
      </c>
    </row>
    <row r="66" spans="1:30" x14ac:dyDescent="0.2">
      <c r="A66" s="1">
        <v>64</v>
      </c>
      <c r="B66" t="s">
        <v>131</v>
      </c>
      <c r="C66" t="s">
        <v>132</v>
      </c>
      <c r="D66">
        <v>1</v>
      </c>
      <c r="E66">
        <f>VLOOKUP(C66,Week6!$A$2:$B$73,2,FALSE)</f>
        <v>1</v>
      </c>
      <c r="F66" t="e">
        <f>VLOOKUP(C66,Week5!$A$2:$B$67,2,FALSE)</f>
        <v>#N/A</v>
      </c>
      <c r="G66" t="e">
        <f>VLOOKUP(C66,Week4!$A$2:$B$64,2,FALSE)</f>
        <v>#N/A</v>
      </c>
      <c r="H66" t="e">
        <f>VLOOKUP(C66,Week3!$A$2:$B$61,2,FALSE)</f>
        <v>#N/A</v>
      </c>
      <c r="I66" t="e">
        <f>VLOOKUP(C66,Week2!$A$2:$B$48,2,FALSE)</f>
        <v>#N/A</v>
      </c>
      <c r="J66" t="e">
        <f>VLOOKUP(C66,Week1!$A$2:$B$31,2,FALSE)</f>
        <v>#N/A</v>
      </c>
      <c r="M66" t="s">
        <v>132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W66" t="s">
        <v>132</v>
      </c>
      <c r="X66">
        <f t="shared" si="1"/>
        <v>0</v>
      </c>
      <c r="Y66">
        <f t="shared" si="2"/>
        <v>1</v>
      </c>
      <c r="Z66">
        <f t="shared" si="3"/>
        <v>0</v>
      </c>
      <c r="AA66">
        <f t="shared" si="4"/>
        <v>0</v>
      </c>
      <c r="AB66">
        <f t="shared" si="5"/>
        <v>0</v>
      </c>
      <c r="AC66">
        <f t="shared" si="6"/>
        <v>0</v>
      </c>
      <c r="AD66">
        <f t="shared" si="7"/>
        <v>0</v>
      </c>
    </row>
    <row r="67" spans="1:30" x14ac:dyDescent="0.2">
      <c r="A67" s="1">
        <v>65</v>
      </c>
      <c r="B67" t="s">
        <v>133</v>
      </c>
      <c r="C67" t="s">
        <v>134</v>
      </c>
      <c r="D67">
        <v>1</v>
      </c>
      <c r="E67">
        <f>VLOOKUP(C67,Week6!$A$2:$B$73,2,FALSE)</f>
        <v>1</v>
      </c>
      <c r="F67">
        <f>VLOOKUP(C67,Week5!$A$2:$B$67,2,FALSE)</f>
        <v>1</v>
      </c>
      <c r="G67">
        <f>VLOOKUP(C67,Week4!$A$2:$B$64,2,FALSE)</f>
        <v>1</v>
      </c>
      <c r="H67">
        <f>VLOOKUP(C67,Week3!$A$2:$B$61,2,FALSE)</f>
        <v>1</v>
      </c>
      <c r="I67" t="e">
        <f>VLOOKUP(C67,Week2!$A$2:$B$48,2,FALSE)</f>
        <v>#N/A</v>
      </c>
      <c r="J67" t="e">
        <f>VLOOKUP(C67,Week1!$A$2:$B$31,2,FALSE)</f>
        <v>#N/A</v>
      </c>
      <c r="M67" t="s">
        <v>134</v>
      </c>
      <c r="N67">
        <v>1</v>
      </c>
      <c r="O67">
        <v>1</v>
      </c>
      <c r="P67">
        <v>1</v>
      </c>
      <c r="Q67">
        <v>1</v>
      </c>
      <c r="R67">
        <v>1</v>
      </c>
      <c r="S67">
        <v>0</v>
      </c>
      <c r="T67">
        <v>0</v>
      </c>
      <c r="W67" t="s">
        <v>134</v>
      </c>
      <c r="X67">
        <f t="shared" ref="X67:X77" si="8">N67-O67</f>
        <v>0</v>
      </c>
      <c r="Y67">
        <f t="shared" ref="Y67:Y77" si="9">O67-P67</f>
        <v>0</v>
      </c>
      <c r="Z67">
        <f t="shared" ref="Z67:Z77" si="10">P67-Q67</f>
        <v>0</v>
      </c>
      <c r="AA67">
        <f t="shared" ref="AA67:AA77" si="11">Q67-R67</f>
        <v>0</v>
      </c>
      <c r="AB67">
        <f t="shared" ref="AB67:AB77" si="12">R67-S67</f>
        <v>1</v>
      </c>
      <c r="AC67">
        <f t="shared" ref="AC67:AC77" si="13">S67-T67</f>
        <v>0</v>
      </c>
      <c r="AD67">
        <f t="shared" ref="AD67:AD77" si="14">T67-U67</f>
        <v>0</v>
      </c>
    </row>
    <row r="68" spans="1:30" x14ac:dyDescent="0.2">
      <c r="A68" s="1">
        <v>66</v>
      </c>
      <c r="B68" t="s">
        <v>135</v>
      </c>
      <c r="C68" t="s">
        <v>136</v>
      </c>
      <c r="D68">
        <v>1</v>
      </c>
      <c r="E68">
        <f>VLOOKUP(C68,Week6!$A$2:$B$73,2,FALSE)</f>
        <v>1</v>
      </c>
      <c r="F68">
        <f>VLOOKUP(C68,Week5!$A$2:$B$67,2,FALSE)</f>
        <v>1</v>
      </c>
      <c r="G68">
        <f>VLOOKUP(C68,Week4!$A$2:$B$64,2,FALSE)</f>
        <v>1</v>
      </c>
      <c r="H68">
        <f>VLOOKUP(C68,Week3!$A$2:$B$61,2,FALSE)</f>
        <v>1</v>
      </c>
      <c r="I68">
        <f>VLOOKUP(C68,Week2!$A$2:$B$48,2,FALSE)</f>
        <v>1</v>
      </c>
      <c r="J68" t="e">
        <f>VLOOKUP(C68,Week1!$A$2:$B$31,2,FALSE)</f>
        <v>#N/A</v>
      </c>
      <c r="M68" t="s">
        <v>136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W68" t="s">
        <v>136</v>
      </c>
      <c r="X68">
        <f t="shared" si="8"/>
        <v>0</v>
      </c>
      <c r="Y68">
        <f t="shared" si="9"/>
        <v>0</v>
      </c>
      <c r="Z68">
        <f t="shared" si="10"/>
        <v>0</v>
      </c>
      <c r="AA68">
        <f t="shared" si="11"/>
        <v>0</v>
      </c>
      <c r="AB68">
        <f t="shared" si="12"/>
        <v>0</v>
      </c>
      <c r="AC68">
        <f t="shared" si="13"/>
        <v>1</v>
      </c>
      <c r="AD68">
        <f t="shared" si="14"/>
        <v>0</v>
      </c>
    </row>
    <row r="69" spans="1:30" x14ac:dyDescent="0.2">
      <c r="A69" s="1">
        <v>67</v>
      </c>
      <c r="B69" t="s">
        <v>137</v>
      </c>
      <c r="C69" t="s">
        <v>138</v>
      </c>
      <c r="D69">
        <v>1</v>
      </c>
      <c r="E69">
        <f>VLOOKUP(C69,Week6!$A$2:$B$73,2,FALSE)</f>
        <v>1</v>
      </c>
      <c r="F69" t="e">
        <f>VLOOKUP(C69,Week5!$A$2:$B$67,2,FALSE)</f>
        <v>#N/A</v>
      </c>
      <c r="G69" t="e">
        <f>VLOOKUP(C69,Week4!$A$2:$B$64,2,FALSE)</f>
        <v>#N/A</v>
      </c>
      <c r="H69" t="e">
        <f>VLOOKUP(C69,Week3!$A$2:$B$61,2,FALSE)</f>
        <v>#N/A</v>
      </c>
      <c r="I69" t="e">
        <f>VLOOKUP(C69,Week2!$A$2:$B$48,2,FALSE)</f>
        <v>#N/A</v>
      </c>
      <c r="J69" t="e">
        <f>VLOOKUP(C69,Week1!$A$2:$B$31,2,FALSE)</f>
        <v>#N/A</v>
      </c>
      <c r="M69" t="s">
        <v>138</v>
      </c>
      <c r="N69">
        <v>1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W69" t="s">
        <v>138</v>
      </c>
      <c r="X69">
        <f t="shared" si="8"/>
        <v>0</v>
      </c>
      <c r="Y69">
        <f t="shared" si="9"/>
        <v>1</v>
      </c>
      <c r="Z69">
        <f t="shared" si="10"/>
        <v>0</v>
      </c>
      <c r="AA69">
        <f t="shared" si="11"/>
        <v>0</v>
      </c>
      <c r="AB69">
        <f t="shared" si="12"/>
        <v>0</v>
      </c>
      <c r="AC69">
        <f t="shared" si="13"/>
        <v>0</v>
      </c>
      <c r="AD69">
        <f t="shared" si="14"/>
        <v>0</v>
      </c>
    </row>
    <row r="70" spans="1:30" x14ac:dyDescent="0.2">
      <c r="A70" s="1">
        <v>68</v>
      </c>
      <c r="B70" t="s">
        <v>139</v>
      </c>
      <c r="C70" t="s">
        <v>140</v>
      </c>
      <c r="D70">
        <v>1</v>
      </c>
      <c r="E70">
        <f>VLOOKUP(C70,Week6!$A$2:$B$73,2,FALSE)</f>
        <v>1</v>
      </c>
      <c r="F70" t="e">
        <f>VLOOKUP(C70,Week5!$A$2:$B$67,2,FALSE)</f>
        <v>#N/A</v>
      </c>
      <c r="G70" t="e">
        <f>VLOOKUP(C70,Week4!$A$2:$B$64,2,FALSE)</f>
        <v>#N/A</v>
      </c>
      <c r="H70" t="e">
        <f>VLOOKUP(C70,Week3!$A$2:$B$61,2,FALSE)</f>
        <v>#N/A</v>
      </c>
      <c r="I70" t="e">
        <f>VLOOKUP(C70,Week2!$A$2:$B$48,2,FALSE)</f>
        <v>#N/A</v>
      </c>
      <c r="J70" t="e">
        <f>VLOOKUP(C70,Week1!$A$2:$B$31,2,FALSE)</f>
        <v>#N/A</v>
      </c>
      <c r="M70" t="s">
        <v>140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W70" t="s">
        <v>140</v>
      </c>
      <c r="X70">
        <f t="shared" si="8"/>
        <v>0</v>
      </c>
      <c r="Y70">
        <f t="shared" si="9"/>
        <v>1</v>
      </c>
      <c r="Z70">
        <f t="shared" si="10"/>
        <v>0</v>
      </c>
      <c r="AA70">
        <f t="shared" si="11"/>
        <v>0</v>
      </c>
      <c r="AB70">
        <f t="shared" si="12"/>
        <v>0</v>
      </c>
      <c r="AC70">
        <f t="shared" si="13"/>
        <v>0</v>
      </c>
      <c r="AD70">
        <f t="shared" si="14"/>
        <v>0</v>
      </c>
    </row>
    <row r="71" spans="1:30" x14ac:dyDescent="0.2">
      <c r="A71" s="1">
        <v>69</v>
      </c>
      <c r="B71" t="s">
        <v>141</v>
      </c>
      <c r="C71" t="s">
        <v>142</v>
      </c>
      <c r="D71">
        <v>1</v>
      </c>
      <c r="E71">
        <f>VLOOKUP(C71,Week6!$A$2:$B$73,2,FALSE)</f>
        <v>1</v>
      </c>
      <c r="F71">
        <f>VLOOKUP(C71,Week5!$A$2:$B$67,2,FALSE)</f>
        <v>1</v>
      </c>
      <c r="G71">
        <f>VLOOKUP(C71,Week4!$A$2:$B$64,2,FALSE)</f>
        <v>1</v>
      </c>
      <c r="H71">
        <f>VLOOKUP(C71,Week3!$A$2:$B$61,2,FALSE)</f>
        <v>1</v>
      </c>
      <c r="I71">
        <f>VLOOKUP(C71,Week2!$A$2:$B$48,2,FALSE)</f>
        <v>1</v>
      </c>
      <c r="J71" t="e">
        <f>VLOOKUP(C71,Week1!$A$2:$B$31,2,FALSE)</f>
        <v>#N/A</v>
      </c>
      <c r="M71" t="s">
        <v>142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W71" t="s">
        <v>142</v>
      </c>
      <c r="X71">
        <f t="shared" si="8"/>
        <v>0</v>
      </c>
      <c r="Y71">
        <f t="shared" si="9"/>
        <v>0</v>
      </c>
      <c r="Z71">
        <f t="shared" si="10"/>
        <v>0</v>
      </c>
      <c r="AA71">
        <f t="shared" si="11"/>
        <v>0</v>
      </c>
      <c r="AB71">
        <f t="shared" si="12"/>
        <v>0</v>
      </c>
      <c r="AC71">
        <f t="shared" si="13"/>
        <v>1</v>
      </c>
      <c r="AD71">
        <f t="shared" si="14"/>
        <v>0</v>
      </c>
    </row>
    <row r="72" spans="1:30" x14ac:dyDescent="0.2">
      <c r="A72" s="1">
        <v>70</v>
      </c>
      <c r="B72" t="s">
        <v>143</v>
      </c>
      <c r="C72" t="s">
        <v>144</v>
      </c>
      <c r="D72">
        <v>1</v>
      </c>
      <c r="E72">
        <f>VLOOKUP(C72,Week6!$A$2:$B$73,2,FALSE)</f>
        <v>1</v>
      </c>
      <c r="F72">
        <f>VLOOKUP(C72,Week5!$A$2:$B$67,2,FALSE)</f>
        <v>1</v>
      </c>
      <c r="G72">
        <f>VLOOKUP(C72,Week4!$A$2:$B$64,2,FALSE)</f>
        <v>1</v>
      </c>
      <c r="H72" t="e">
        <f>VLOOKUP(C72,Week3!$A$2:$B$61,2,FALSE)</f>
        <v>#N/A</v>
      </c>
      <c r="I72" t="e">
        <f>VLOOKUP(C72,Week2!$A$2:$B$48,2,FALSE)</f>
        <v>#N/A</v>
      </c>
      <c r="J72" t="e">
        <f>VLOOKUP(C72,Week1!$A$2:$B$31,2,FALSE)</f>
        <v>#N/A</v>
      </c>
      <c r="M72" t="s">
        <v>144</v>
      </c>
      <c r="N72">
        <v>1</v>
      </c>
      <c r="O72">
        <v>1</v>
      </c>
      <c r="P72">
        <v>1</v>
      </c>
      <c r="Q72">
        <v>1</v>
      </c>
      <c r="R72">
        <v>0</v>
      </c>
      <c r="S72">
        <v>0</v>
      </c>
      <c r="T72">
        <v>0</v>
      </c>
      <c r="W72" t="s">
        <v>144</v>
      </c>
      <c r="X72">
        <f t="shared" si="8"/>
        <v>0</v>
      </c>
      <c r="Y72">
        <f t="shared" si="9"/>
        <v>0</v>
      </c>
      <c r="Z72">
        <f t="shared" si="10"/>
        <v>0</v>
      </c>
      <c r="AA72">
        <f t="shared" si="11"/>
        <v>1</v>
      </c>
      <c r="AB72">
        <f t="shared" si="12"/>
        <v>0</v>
      </c>
      <c r="AC72">
        <f t="shared" si="13"/>
        <v>0</v>
      </c>
      <c r="AD72">
        <f t="shared" si="14"/>
        <v>0</v>
      </c>
    </row>
    <row r="73" spans="1:30" x14ac:dyDescent="0.2">
      <c r="A73" s="1">
        <v>71</v>
      </c>
      <c r="B73" t="s">
        <v>145</v>
      </c>
      <c r="C73" t="s">
        <v>146</v>
      </c>
      <c r="D73">
        <v>1</v>
      </c>
      <c r="E73">
        <f>VLOOKUP(C73,Week6!$A$2:$B$73,2,FALSE)</f>
        <v>1</v>
      </c>
      <c r="F73">
        <f>VLOOKUP(C73,Week5!$A$2:$B$67,2,FALSE)</f>
        <v>1</v>
      </c>
      <c r="G73">
        <f>VLOOKUP(C73,Week4!$A$2:$B$64,2,FALSE)</f>
        <v>1</v>
      </c>
      <c r="H73">
        <f>VLOOKUP(C73,Week3!$A$2:$B$61,2,FALSE)</f>
        <v>1</v>
      </c>
      <c r="I73" t="e">
        <f>VLOOKUP(C73,Week2!$A$2:$B$48,2,FALSE)</f>
        <v>#N/A</v>
      </c>
      <c r="J73" t="e">
        <f>VLOOKUP(C73,Week1!$A$2:$B$31,2,FALSE)</f>
        <v>#N/A</v>
      </c>
      <c r="M73" t="s">
        <v>146</v>
      </c>
      <c r="N73">
        <v>1</v>
      </c>
      <c r="O73">
        <v>1</v>
      </c>
      <c r="P73">
        <v>1</v>
      </c>
      <c r="Q73">
        <v>1</v>
      </c>
      <c r="R73">
        <v>1</v>
      </c>
      <c r="S73">
        <v>0</v>
      </c>
      <c r="T73">
        <v>0</v>
      </c>
      <c r="W73" t="s">
        <v>146</v>
      </c>
      <c r="X73">
        <f t="shared" si="8"/>
        <v>0</v>
      </c>
      <c r="Y73">
        <f t="shared" si="9"/>
        <v>0</v>
      </c>
      <c r="Z73">
        <f t="shared" si="10"/>
        <v>0</v>
      </c>
      <c r="AA73">
        <f t="shared" si="11"/>
        <v>0</v>
      </c>
      <c r="AB73">
        <f t="shared" si="12"/>
        <v>1</v>
      </c>
      <c r="AC73">
        <f t="shared" si="13"/>
        <v>0</v>
      </c>
      <c r="AD73">
        <f t="shared" si="14"/>
        <v>0</v>
      </c>
    </row>
    <row r="74" spans="1:30" x14ac:dyDescent="0.2">
      <c r="A74" s="1">
        <v>72</v>
      </c>
      <c r="B74" t="s">
        <v>147</v>
      </c>
      <c r="C74" t="s">
        <v>148</v>
      </c>
      <c r="D74">
        <v>1</v>
      </c>
      <c r="E74">
        <f>VLOOKUP(C74,Week6!$A$2:$B$73,2,FALSE)</f>
        <v>1</v>
      </c>
      <c r="F74">
        <f>VLOOKUP(C74,Week5!$A$2:$B$67,2,FALSE)</f>
        <v>1</v>
      </c>
      <c r="G74">
        <f>VLOOKUP(C74,Week4!$A$2:$B$64,2,FALSE)</f>
        <v>1</v>
      </c>
      <c r="H74">
        <f>VLOOKUP(C74,Week3!$A$2:$B$61,2,FALSE)</f>
        <v>1</v>
      </c>
      <c r="I74">
        <f>VLOOKUP(C74,Week2!$A$2:$B$48,2,FALSE)</f>
        <v>1</v>
      </c>
      <c r="J74" t="e">
        <f>VLOOKUP(C74,Week1!$A$2:$B$31,2,FALSE)</f>
        <v>#N/A</v>
      </c>
      <c r="M74" t="s">
        <v>148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W74" t="s">
        <v>148</v>
      </c>
      <c r="X74">
        <f t="shared" si="8"/>
        <v>0</v>
      </c>
      <c r="Y74">
        <f t="shared" si="9"/>
        <v>0</v>
      </c>
      <c r="Z74">
        <f t="shared" si="10"/>
        <v>0</v>
      </c>
      <c r="AA74">
        <f t="shared" si="11"/>
        <v>0</v>
      </c>
      <c r="AB74">
        <f t="shared" si="12"/>
        <v>0</v>
      </c>
      <c r="AC74">
        <f t="shared" si="13"/>
        <v>1</v>
      </c>
      <c r="AD74">
        <f t="shared" si="14"/>
        <v>0</v>
      </c>
    </row>
    <row r="75" spans="1:30" x14ac:dyDescent="0.2">
      <c r="A75" s="1">
        <v>73</v>
      </c>
      <c r="B75" t="s">
        <v>149</v>
      </c>
      <c r="C75" t="s">
        <v>150</v>
      </c>
      <c r="D75">
        <v>1</v>
      </c>
      <c r="E75" t="e">
        <f>VLOOKUP(C75,Week6!$A$2:$B$73,2,FALSE)</f>
        <v>#N/A</v>
      </c>
      <c r="F75" t="e">
        <f>VLOOKUP(C75,Week5!$A$2:$B$67,2,FALSE)</f>
        <v>#N/A</v>
      </c>
      <c r="G75" t="e">
        <f>VLOOKUP(C75,Week4!$A$2:$B$64,2,FALSE)</f>
        <v>#N/A</v>
      </c>
      <c r="H75" t="e">
        <f>VLOOKUP(C75,Week3!$A$2:$B$61,2,FALSE)</f>
        <v>#N/A</v>
      </c>
      <c r="I75" t="e">
        <f>VLOOKUP(C75,Week2!$A$2:$B$48,2,FALSE)</f>
        <v>#N/A</v>
      </c>
      <c r="J75" t="e">
        <f>VLOOKUP(C75,Week1!$A$2:$B$31,2,FALSE)</f>
        <v>#N/A</v>
      </c>
      <c r="M75" t="s">
        <v>150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W75" t="s">
        <v>150</v>
      </c>
      <c r="X75">
        <f t="shared" si="8"/>
        <v>1</v>
      </c>
      <c r="Y75">
        <f t="shared" si="9"/>
        <v>0</v>
      </c>
      <c r="Z75">
        <f t="shared" si="10"/>
        <v>0</v>
      </c>
      <c r="AA75">
        <f t="shared" si="11"/>
        <v>0</v>
      </c>
      <c r="AB75">
        <f t="shared" si="12"/>
        <v>0</v>
      </c>
      <c r="AC75">
        <f t="shared" si="13"/>
        <v>0</v>
      </c>
      <c r="AD75">
        <f t="shared" si="14"/>
        <v>0</v>
      </c>
    </row>
    <row r="76" spans="1:30" x14ac:dyDescent="0.2">
      <c r="A76" s="1">
        <v>74</v>
      </c>
      <c r="B76" t="s">
        <v>151</v>
      </c>
      <c r="C76" t="s">
        <v>152</v>
      </c>
      <c r="D76">
        <v>1</v>
      </c>
      <c r="E76" t="e">
        <f>VLOOKUP(C76,Week6!$A$2:$B$73,2,FALSE)</f>
        <v>#N/A</v>
      </c>
      <c r="F76" t="e">
        <f>VLOOKUP(C76,Week5!$A$2:$B$67,2,FALSE)</f>
        <v>#N/A</v>
      </c>
      <c r="G76" t="e">
        <f>VLOOKUP(C76,Week4!$A$2:$B$64,2,FALSE)</f>
        <v>#N/A</v>
      </c>
      <c r="H76" t="e">
        <f>VLOOKUP(C76,Week3!$A$2:$B$61,2,FALSE)</f>
        <v>#N/A</v>
      </c>
      <c r="I76" t="e">
        <f>VLOOKUP(C76,Week2!$A$2:$B$48,2,FALSE)</f>
        <v>#N/A</v>
      </c>
      <c r="J76" t="e">
        <f>VLOOKUP(C76,Week1!$A$2:$B$31,2,FALSE)</f>
        <v>#N/A</v>
      </c>
      <c r="M76" t="s">
        <v>152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W76" t="s">
        <v>152</v>
      </c>
      <c r="X76">
        <f t="shared" si="8"/>
        <v>1</v>
      </c>
      <c r="Y76">
        <f t="shared" si="9"/>
        <v>0</v>
      </c>
      <c r="Z76">
        <f t="shared" si="10"/>
        <v>0</v>
      </c>
      <c r="AA76">
        <f t="shared" si="11"/>
        <v>0</v>
      </c>
      <c r="AB76">
        <f t="shared" si="12"/>
        <v>0</v>
      </c>
      <c r="AC76">
        <f t="shared" si="13"/>
        <v>0</v>
      </c>
      <c r="AD76">
        <f t="shared" si="14"/>
        <v>0</v>
      </c>
    </row>
    <row r="77" spans="1:30" x14ac:dyDescent="0.2">
      <c r="A77" s="1">
        <v>75</v>
      </c>
      <c r="B77" t="s">
        <v>153</v>
      </c>
      <c r="C77" t="s">
        <v>154</v>
      </c>
      <c r="D77">
        <v>1</v>
      </c>
      <c r="E77">
        <f>VLOOKUP(C77,Week6!$A$2:$B$73,2,FALSE)</f>
        <v>1</v>
      </c>
      <c r="F77">
        <f>VLOOKUP(C77,Week5!$A$2:$B$67,2,FALSE)</f>
        <v>1</v>
      </c>
      <c r="G77">
        <f>VLOOKUP(C77,Week4!$A$2:$B$64,2,FALSE)</f>
        <v>1</v>
      </c>
      <c r="H77">
        <f>VLOOKUP(C77,Week3!$A$2:$B$61,2,FALSE)</f>
        <v>1</v>
      </c>
      <c r="I77">
        <f>VLOOKUP(C77,Week2!$A$2:$B$48,2,FALSE)</f>
        <v>1</v>
      </c>
      <c r="J77" t="e">
        <f>VLOOKUP(C77,Week1!$A$2:$B$31,2,FALSE)</f>
        <v>#N/A</v>
      </c>
      <c r="M77" t="s">
        <v>154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W77" t="s">
        <v>154</v>
      </c>
      <c r="X77">
        <f t="shared" si="8"/>
        <v>0</v>
      </c>
      <c r="Y77">
        <f t="shared" si="9"/>
        <v>0</v>
      </c>
      <c r="Z77">
        <f t="shared" si="10"/>
        <v>0</v>
      </c>
      <c r="AA77">
        <f t="shared" si="11"/>
        <v>0</v>
      </c>
      <c r="AB77">
        <f t="shared" si="12"/>
        <v>0</v>
      </c>
      <c r="AC77">
        <f t="shared" si="13"/>
        <v>1</v>
      </c>
      <c r="AD77">
        <f t="shared" si="14"/>
        <v>0</v>
      </c>
    </row>
    <row r="79" spans="1:30" x14ac:dyDescent="0.2">
      <c r="D79">
        <f>SUM(D2:D77)</f>
        <v>2718</v>
      </c>
    </row>
    <row r="80" spans="1:30" x14ac:dyDescent="0.2">
      <c r="D80">
        <f>4/D79</f>
        <v>1.4716703458425313E-3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64E1-14F4-DB4A-9B9E-F6F634609CDB}">
  <dimension ref="A1:B73"/>
  <sheetViews>
    <sheetView topLeftCell="A32" workbookViewId="0">
      <selection activeCell="F10" sqref="F10"/>
    </sheetView>
  </sheetViews>
  <sheetFormatPr baseColWidth="10" defaultRowHeight="15" x14ac:dyDescent="0.2"/>
  <cols>
    <col min="1" max="1" width="13.5" bestFit="1" customWidth="1"/>
  </cols>
  <sheetData>
    <row r="1" spans="1:2" x14ac:dyDescent="0.2">
      <c r="A1" s="1" t="s">
        <v>2</v>
      </c>
      <c r="B1" s="1" t="s">
        <v>1</v>
      </c>
    </row>
    <row r="2" spans="1:2" x14ac:dyDescent="0.2">
      <c r="A2" t="s">
        <v>4</v>
      </c>
      <c r="B2">
        <v>563</v>
      </c>
    </row>
    <row r="3" spans="1:2" x14ac:dyDescent="0.2">
      <c r="A3" t="s">
        <v>6</v>
      </c>
      <c r="B3">
        <v>392</v>
      </c>
    </row>
    <row r="4" spans="1:2" x14ac:dyDescent="0.2">
      <c r="A4" t="s">
        <v>8</v>
      </c>
      <c r="B4">
        <v>317</v>
      </c>
    </row>
    <row r="5" spans="1:2" x14ac:dyDescent="0.2">
      <c r="A5" t="s">
        <v>10</v>
      </c>
      <c r="B5">
        <v>190</v>
      </c>
    </row>
    <row r="6" spans="1:2" x14ac:dyDescent="0.2">
      <c r="A6" t="s">
        <v>12</v>
      </c>
      <c r="B6">
        <v>166</v>
      </c>
    </row>
    <row r="7" spans="1:2" x14ac:dyDescent="0.2">
      <c r="A7" t="s">
        <v>14</v>
      </c>
      <c r="B7">
        <v>82</v>
      </c>
    </row>
    <row r="8" spans="1:2" x14ac:dyDescent="0.2">
      <c r="A8" t="s">
        <v>16</v>
      </c>
      <c r="B8">
        <v>72</v>
      </c>
    </row>
    <row r="9" spans="1:2" x14ac:dyDescent="0.2">
      <c r="A9" t="s">
        <v>18</v>
      </c>
      <c r="B9">
        <v>53</v>
      </c>
    </row>
    <row r="10" spans="1:2" x14ac:dyDescent="0.2">
      <c r="A10" t="s">
        <v>22</v>
      </c>
      <c r="B10">
        <v>52</v>
      </c>
    </row>
    <row r="11" spans="1:2" x14ac:dyDescent="0.2">
      <c r="A11" t="s">
        <v>24</v>
      </c>
      <c r="B11">
        <v>48</v>
      </c>
    </row>
    <row r="12" spans="1:2" x14ac:dyDescent="0.2">
      <c r="A12" t="s">
        <v>20</v>
      </c>
      <c r="B12">
        <v>46</v>
      </c>
    </row>
    <row r="13" spans="1:2" x14ac:dyDescent="0.2">
      <c r="A13" t="s">
        <v>32</v>
      </c>
      <c r="B13">
        <v>28</v>
      </c>
    </row>
    <row r="14" spans="1:2" x14ac:dyDescent="0.2">
      <c r="A14" t="s">
        <v>30</v>
      </c>
      <c r="B14">
        <v>26</v>
      </c>
    </row>
    <row r="15" spans="1:2" x14ac:dyDescent="0.2">
      <c r="A15" t="s">
        <v>36</v>
      </c>
      <c r="B15">
        <v>22</v>
      </c>
    </row>
    <row r="16" spans="1:2" x14ac:dyDescent="0.2">
      <c r="A16" t="s">
        <v>38</v>
      </c>
      <c r="B16">
        <v>22</v>
      </c>
    </row>
    <row r="17" spans="1:2" x14ac:dyDescent="0.2">
      <c r="A17" t="s">
        <v>28</v>
      </c>
      <c r="B17">
        <v>20</v>
      </c>
    </row>
    <row r="18" spans="1:2" x14ac:dyDescent="0.2">
      <c r="A18" t="s">
        <v>34</v>
      </c>
      <c r="B18">
        <v>20</v>
      </c>
    </row>
    <row r="19" spans="1:2" x14ac:dyDescent="0.2">
      <c r="A19" t="s">
        <v>26</v>
      </c>
      <c r="B19">
        <v>20</v>
      </c>
    </row>
    <row r="20" spans="1:2" x14ac:dyDescent="0.2">
      <c r="A20" t="s">
        <v>42</v>
      </c>
      <c r="B20">
        <v>16</v>
      </c>
    </row>
    <row r="21" spans="1:2" x14ac:dyDescent="0.2">
      <c r="A21" t="s">
        <v>44</v>
      </c>
      <c r="B21">
        <v>15</v>
      </c>
    </row>
    <row r="22" spans="1:2" x14ac:dyDescent="0.2">
      <c r="A22" t="s">
        <v>40</v>
      </c>
      <c r="B22">
        <v>11</v>
      </c>
    </row>
    <row r="23" spans="1:2" x14ac:dyDescent="0.2">
      <c r="A23" t="s">
        <v>50</v>
      </c>
      <c r="B23">
        <v>11</v>
      </c>
    </row>
    <row r="24" spans="1:2" x14ac:dyDescent="0.2">
      <c r="A24" t="s">
        <v>48</v>
      </c>
      <c r="B24">
        <v>11</v>
      </c>
    </row>
    <row r="25" spans="1:2" x14ac:dyDescent="0.2">
      <c r="A25" t="s">
        <v>52</v>
      </c>
      <c r="B25">
        <v>10</v>
      </c>
    </row>
    <row r="26" spans="1:2" x14ac:dyDescent="0.2">
      <c r="A26" t="s">
        <v>56</v>
      </c>
      <c r="B26">
        <v>9</v>
      </c>
    </row>
    <row r="27" spans="1:2" x14ac:dyDescent="0.2">
      <c r="A27" t="s">
        <v>54</v>
      </c>
      <c r="B27">
        <v>9</v>
      </c>
    </row>
    <row r="28" spans="1:2" x14ac:dyDescent="0.2">
      <c r="A28" t="s">
        <v>46</v>
      </c>
      <c r="B28">
        <v>9</v>
      </c>
    </row>
    <row r="29" spans="1:2" x14ac:dyDescent="0.2">
      <c r="A29" t="s">
        <v>58</v>
      </c>
      <c r="B29">
        <v>8</v>
      </c>
    </row>
    <row r="30" spans="1:2" x14ac:dyDescent="0.2">
      <c r="A30" t="s">
        <v>62</v>
      </c>
      <c r="B30">
        <v>7</v>
      </c>
    </row>
    <row r="31" spans="1:2" x14ac:dyDescent="0.2">
      <c r="A31" t="s">
        <v>60</v>
      </c>
      <c r="B31">
        <v>7</v>
      </c>
    </row>
    <row r="32" spans="1:2" x14ac:dyDescent="0.2">
      <c r="A32" t="s">
        <v>68</v>
      </c>
      <c r="B32">
        <v>6</v>
      </c>
    </row>
    <row r="33" spans="1:2" x14ac:dyDescent="0.2">
      <c r="A33" t="s">
        <v>72</v>
      </c>
      <c r="B33">
        <v>6</v>
      </c>
    </row>
    <row r="34" spans="1:2" x14ac:dyDescent="0.2">
      <c r="A34" t="s">
        <v>70</v>
      </c>
      <c r="B34">
        <v>5</v>
      </c>
    </row>
    <row r="35" spans="1:2" x14ac:dyDescent="0.2">
      <c r="A35" t="s">
        <v>74</v>
      </c>
      <c r="B35">
        <v>5</v>
      </c>
    </row>
    <row r="36" spans="1:2" x14ac:dyDescent="0.2">
      <c r="A36" t="s">
        <v>78</v>
      </c>
      <c r="B36">
        <v>5</v>
      </c>
    </row>
    <row r="37" spans="1:2" x14ac:dyDescent="0.2">
      <c r="A37" t="s">
        <v>84</v>
      </c>
      <c r="B37">
        <v>4</v>
      </c>
    </row>
    <row r="38" spans="1:2" x14ac:dyDescent="0.2">
      <c r="A38" t="s">
        <v>86</v>
      </c>
      <c r="B38">
        <v>4</v>
      </c>
    </row>
    <row r="39" spans="1:2" x14ac:dyDescent="0.2">
      <c r="A39" t="s">
        <v>64</v>
      </c>
      <c r="B39">
        <v>4</v>
      </c>
    </row>
    <row r="40" spans="1:2" x14ac:dyDescent="0.2">
      <c r="A40" t="s">
        <v>88</v>
      </c>
      <c r="B40">
        <v>4</v>
      </c>
    </row>
    <row r="41" spans="1:2" x14ac:dyDescent="0.2">
      <c r="A41" t="s">
        <v>82</v>
      </c>
      <c r="B41">
        <v>4</v>
      </c>
    </row>
    <row r="42" spans="1:2" x14ac:dyDescent="0.2">
      <c r="A42" t="s">
        <v>76</v>
      </c>
      <c r="B42">
        <v>4</v>
      </c>
    </row>
    <row r="43" spans="1:2" x14ac:dyDescent="0.2">
      <c r="A43" t="s">
        <v>90</v>
      </c>
      <c r="B43">
        <v>3</v>
      </c>
    </row>
    <row r="44" spans="1:2" x14ac:dyDescent="0.2">
      <c r="A44" t="s">
        <v>104</v>
      </c>
      <c r="B44">
        <v>3</v>
      </c>
    </row>
    <row r="45" spans="1:2" x14ac:dyDescent="0.2">
      <c r="A45" t="s">
        <v>96</v>
      </c>
      <c r="B45">
        <v>3</v>
      </c>
    </row>
    <row r="46" spans="1:2" x14ac:dyDescent="0.2">
      <c r="A46" t="s">
        <v>98</v>
      </c>
      <c r="B46">
        <v>3</v>
      </c>
    </row>
    <row r="47" spans="1:2" x14ac:dyDescent="0.2">
      <c r="A47" t="s">
        <v>100</v>
      </c>
      <c r="B47">
        <v>3</v>
      </c>
    </row>
    <row r="48" spans="1:2" x14ac:dyDescent="0.2">
      <c r="A48" t="s">
        <v>92</v>
      </c>
      <c r="B48">
        <v>3</v>
      </c>
    </row>
    <row r="49" spans="1:2" x14ac:dyDescent="0.2">
      <c r="A49" t="s">
        <v>94</v>
      </c>
      <c r="B49">
        <v>3</v>
      </c>
    </row>
    <row r="50" spans="1:2" x14ac:dyDescent="0.2">
      <c r="A50" t="s">
        <v>106</v>
      </c>
      <c r="B50">
        <v>2</v>
      </c>
    </row>
    <row r="51" spans="1:2" x14ac:dyDescent="0.2">
      <c r="A51" t="s">
        <v>122</v>
      </c>
      <c r="B51">
        <v>2</v>
      </c>
    </row>
    <row r="52" spans="1:2" x14ac:dyDescent="0.2">
      <c r="A52" t="s">
        <v>110</v>
      </c>
      <c r="B52">
        <v>2</v>
      </c>
    </row>
    <row r="53" spans="1:2" x14ac:dyDescent="0.2">
      <c r="A53" t="s">
        <v>118</v>
      </c>
      <c r="B53">
        <v>2</v>
      </c>
    </row>
    <row r="54" spans="1:2" x14ac:dyDescent="0.2">
      <c r="A54" t="s">
        <v>112</v>
      </c>
      <c r="B54">
        <v>2</v>
      </c>
    </row>
    <row r="55" spans="1:2" x14ac:dyDescent="0.2">
      <c r="A55" t="s">
        <v>102</v>
      </c>
      <c r="B55">
        <v>2</v>
      </c>
    </row>
    <row r="56" spans="1:2" x14ac:dyDescent="0.2">
      <c r="A56" t="s">
        <v>120</v>
      </c>
      <c r="B56">
        <v>2</v>
      </c>
    </row>
    <row r="57" spans="1:2" x14ac:dyDescent="0.2">
      <c r="A57" t="s">
        <v>154</v>
      </c>
      <c r="B57">
        <v>1</v>
      </c>
    </row>
    <row r="58" spans="1:2" x14ac:dyDescent="0.2">
      <c r="A58" t="s">
        <v>128</v>
      </c>
      <c r="B58">
        <v>1</v>
      </c>
    </row>
    <row r="59" spans="1:2" x14ac:dyDescent="0.2">
      <c r="A59" t="s">
        <v>126</v>
      </c>
      <c r="B59">
        <v>1</v>
      </c>
    </row>
    <row r="60" spans="1:2" x14ac:dyDescent="0.2">
      <c r="A60" t="s">
        <v>138</v>
      </c>
      <c r="B60">
        <v>1</v>
      </c>
    </row>
    <row r="61" spans="1:2" x14ac:dyDescent="0.2">
      <c r="A61" t="s">
        <v>66</v>
      </c>
      <c r="B61">
        <v>1</v>
      </c>
    </row>
    <row r="62" spans="1:2" x14ac:dyDescent="0.2">
      <c r="A62" t="s">
        <v>134</v>
      </c>
      <c r="B62">
        <v>1</v>
      </c>
    </row>
    <row r="63" spans="1:2" x14ac:dyDescent="0.2">
      <c r="A63" t="s">
        <v>146</v>
      </c>
      <c r="B63">
        <v>1</v>
      </c>
    </row>
    <row r="64" spans="1:2" x14ac:dyDescent="0.2">
      <c r="A64" t="s">
        <v>140</v>
      </c>
      <c r="B64">
        <v>1</v>
      </c>
    </row>
    <row r="65" spans="1:2" x14ac:dyDescent="0.2">
      <c r="A65" t="s">
        <v>130</v>
      </c>
      <c r="B65">
        <v>1</v>
      </c>
    </row>
    <row r="66" spans="1:2" x14ac:dyDescent="0.2">
      <c r="A66" t="s">
        <v>142</v>
      </c>
      <c r="B66">
        <v>1</v>
      </c>
    </row>
    <row r="67" spans="1:2" x14ac:dyDescent="0.2">
      <c r="A67" t="s">
        <v>144</v>
      </c>
      <c r="B67">
        <v>1</v>
      </c>
    </row>
    <row r="68" spans="1:2" x14ac:dyDescent="0.2">
      <c r="A68" t="s">
        <v>132</v>
      </c>
      <c r="B68">
        <v>1</v>
      </c>
    </row>
    <row r="69" spans="1:2" x14ac:dyDescent="0.2">
      <c r="A69" t="s">
        <v>136</v>
      </c>
      <c r="B69">
        <v>1</v>
      </c>
    </row>
    <row r="70" spans="1:2" x14ac:dyDescent="0.2">
      <c r="A70" t="s">
        <v>148</v>
      </c>
      <c r="B70">
        <v>1</v>
      </c>
    </row>
    <row r="71" spans="1:2" x14ac:dyDescent="0.2">
      <c r="A71" t="s">
        <v>80</v>
      </c>
      <c r="B71">
        <v>1</v>
      </c>
    </row>
    <row r="72" spans="1:2" x14ac:dyDescent="0.2">
      <c r="A72" t="s">
        <v>124</v>
      </c>
      <c r="B72">
        <v>1</v>
      </c>
    </row>
    <row r="73" spans="1:2" x14ac:dyDescent="0.2">
      <c r="A73" t="s">
        <v>114</v>
      </c>
      <c r="B7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4DEC-2995-9E4C-B210-34AA9E15A07D}">
  <dimension ref="A1:B67"/>
  <sheetViews>
    <sheetView topLeftCell="A26" workbookViewId="0">
      <selection activeCell="E8" sqref="E8"/>
    </sheetView>
  </sheetViews>
  <sheetFormatPr baseColWidth="10" defaultRowHeight="15" x14ac:dyDescent="0.2"/>
  <sheetData>
    <row r="1" spans="1:2" x14ac:dyDescent="0.2">
      <c r="A1" s="1" t="s">
        <v>2</v>
      </c>
      <c r="B1" s="1" t="s">
        <v>1</v>
      </c>
    </row>
    <row r="2" spans="1:2" x14ac:dyDescent="0.2">
      <c r="A2" t="s">
        <v>4</v>
      </c>
      <c r="B2">
        <v>408</v>
      </c>
    </row>
    <row r="3" spans="1:2" x14ac:dyDescent="0.2">
      <c r="A3" t="s">
        <v>6</v>
      </c>
      <c r="B3">
        <v>326</v>
      </c>
    </row>
    <row r="4" spans="1:2" x14ac:dyDescent="0.2">
      <c r="A4" t="s">
        <v>8</v>
      </c>
      <c r="B4">
        <v>246</v>
      </c>
    </row>
    <row r="5" spans="1:2" x14ac:dyDescent="0.2">
      <c r="A5" t="s">
        <v>10</v>
      </c>
      <c r="B5">
        <v>137</v>
      </c>
    </row>
    <row r="6" spans="1:2" x14ac:dyDescent="0.2">
      <c r="A6" t="s">
        <v>12</v>
      </c>
      <c r="B6">
        <v>133</v>
      </c>
    </row>
    <row r="7" spans="1:2" x14ac:dyDescent="0.2">
      <c r="A7" t="s">
        <v>14</v>
      </c>
      <c r="B7">
        <v>80</v>
      </c>
    </row>
    <row r="8" spans="1:2" x14ac:dyDescent="0.2">
      <c r="A8" t="s">
        <v>16</v>
      </c>
      <c r="B8">
        <v>66</v>
      </c>
    </row>
    <row r="9" spans="1:2" x14ac:dyDescent="0.2">
      <c r="A9" t="s">
        <v>18</v>
      </c>
      <c r="B9">
        <v>47</v>
      </c>
    </row>
    <row r="10" spans="1:2" x14ac:dyDescent="0.2">
      <c r="A10" t="s">
        <v>22</v>
      </c>
      <c r="B10">
        <v>38</v>
      </c>
    </row>
    <row r="11" spans="1:2" x14ac:dyDescent="0.2">
      <c r="A11" t="s">
        <v>20</v>
      </c>
      <c r="B11">
        <v>37</v>
      </c>
    </row>
    <row r="12" spans="1:2" x14ac:dyDescent="0.2">
      <c r="A12" t="s">
        <v>24</v>
      </c>
      <c r="B12">
        <v>30</v>
      </c>
    </row>
    <row r="13" spans="1:2" x14ac:dyDescent="0.2">
      <c r="A13" t="s">
        <v>32</v>
      </c>
      <c r="B13">
        <v>28</v>
      </c>
    </row>
    <row r="14" spans="1:2" x14ac:dyDescent="0.2">
      <c r="A14" t="s">
        <v>30</v>
      </c>
      <c r="B14">
        <v>26</v>
      </c>
    </row>
    <row r="15" spans="1:2" x14ac:dyDescent="0.2">
      <c r="A15" t="s">
        <v>38</v>
      </c>
      <c r="B15">
        <v>21</v>
      </c>
    </row>
    <row r="16" spans="1:2" x14ac:dyDescent="0.2">
      <c r="A16" t="s">
        <v>26</v>
      </c>
      <c r="B16">
        <v>19</v>
      </c>
    </row>
    <row r="17" spans="1:2" x14ac:dyDescent="0.2">
      <c r="A17" t="s">
        <v>34</v>
      </c>
      <c r="B17">
        <v>16</v>
      </c>
    </row>
    <row r="18" spans="1:2" x14ac:dyDescent="0.2">
      <c r="A18" t="s">
        <v>42</v>
      </c>
      <c r="B18">
        <v>16</v>
      </c>
    </row>
    <row r="19" spans="1:2" x14ac:dyDescent="0.2">
      <c r="A19" t="s">
        <v>28</v>
      </c>
      <c r="B19">
        <v>16</v>
      </c>
    </row>
    <row r="20" spans="1:2" x14ac:dyDescent="0.2">
      <c r="A20" t="s">
        <v>36</v>
      </c>
      <c r="B20">
        <v>11</v>
      </c>
    </row>
    <row r="21" spans="1:2" x14ac:dyDescent="0.2">
      <c r="A21" t="s">
        <v>40</v>
      </c>
      <c r="B21">
        <v>10</v>
      </c>
    </row>
    <row r="22" spans="1:2" x14ac:dyDescent="0.2">
      <c r="A22" t="s">
        <v>48</v>
      </c>
      <c r="B22">
        <v>10</v>
      </c>
    </row>
    <row r="23" spans="1:2" x14ac:dyDescent="0.2">
      <c r="A23" t="s">
        <v>44</v>
      </c>
      <c r="B23">
        <v>9</v>
      </c>
    </row>
    <row r="24" spans="1:2" x14ac:dyDescent="0.2">
      <c r="A24" t="s">
        <v>46</v>
      </c>
      <c r="B24">
        <v>9</v>
      </c>
    </row>
    <row r="25" spans="1:2" x14ac:dyDescent="0.2">
      <c r="A25" t="s">
        <v>58</v>
      </c>
      <c r="B25">
        <v>8</v>
      </c>
    </row>
    <row r="26" spans="1:2" x14ac:dyDescent="0.2">
      <c r="A26" t="s">
        <v>54</v>
      </c>
      <c r="B26">
        <v>8</v>
      </c>
    </row>
    <row r="27" spans="1:2" x14ac:dyDescent="0.2">
      <c r="A27" t="s">
        <v>50</v>
      </c>
      <c r="B27">
        <v>8</v>
      </c>
    </row>
    <row r="28" spans="1:2" x14ac:dyDescent="0.2">
      <c r="A28" t="s">
        <v>60</v>
      </c>
      <c r="B28">
        <v>7</v>
      </c>
    </row>
    <row r="29" spans="1:2" x14ac:dyDescent="0.2">
      <c r="A29" t="s">
        <v>68</v>
      </c>
      <c r="B29">
        <v>6</v>
      </c>
    </row>
    <row r="30" spans="1:2" x14ac:dyDescent="0.2">
      <c r="A30" t="s">
        <v>62</v>
      </c>
      <c r="B30">
        <v>5</v>
      </c>
    </row>
    <row r="31" spans="1:2" x14ac:dyDescent="0.2">
      <c r="A31" t="s">
        <v>70</v>
      </c>
      <c r="B31">
        <v>5</v>
      </c>
    </row>
    <row r="32" spans="1:2" x14ac:dyDescent="0.2">
      <c r="A32" t="s">
        <v>74</v>
      </c>
      <c r="B32">
        <v>5</v>
      </c>
    </row>
    <row r="33" spans="1:2" x14ac:dyDescent="0.2">
      <c r="A33" t="s">
        <v>84</v>
      </c>
      <c r="B33">
        <v>4</v>
      </c>
    </row>
    <row r="34" spans="1:2" x14ac:dyDescent="0.2">
      <c r="A34" t="s">
        <v>76</v>
      </c>
      <c r="B34">
        <v>4</v>
      </c>
    </row>
    <row r="35" spans="1:2" x14ac:dyDescent="0.2">
      <c r="A35" t="s">
        <v>72</v>
      </c>
      <c r="B35">
        <v>4</v>
      </c>
    </row>
    <row r="36" spans="1:2" x14ac:dyDescent="0.2">
      <c r="A36" t="s">
        <v>86</v>
      </c>
      <c r="B36">
        <v>4</v>
      </c>
    </row>
    <row r="37" spans="1:2" x14ac:dyDescent="0.2">
      <c r="A37" t="s">
        <v>52</v>
      </c>
      <c r="B37">
        <v>4</v>
      </c>
    </row>
    <row r="38" spans="1:2" x14ac:dyDescent="0.2">
      <c r="A38" t="s">
        <v>88</v>
      </c>
      <c r="B38">
        <v>3</v>
      </c>
    </row>
    <row r="39" spans="1:2" x14ac:dyDescent="0.2">
      <c r="A39" t="s">
        <v>56</v>
      </c>
      <c r="B39">
        <v>3</v>
      </c>
    </row>
    <row r="40" spans="1:2" x14ac:dyDescent="0.2">
      <c r="A40" t="s">
        <v>96</v>
      </c>
      <c r="B40">
        <v>3</v>
      </c>
    </row>
    <row r="41" spans="1:2" x14ac:dyDescent="0.2">
      <c r="A41" t="s">
        <v>94</v>
      </c>
      <c r="B41">
        <v>3</v>
      </c>
    </row>
    <row r="42" spans="1:2" x14ac:dyDescent="0.2">
      <c r="A42" t="s">
        <v>106</v>
      </c>
      <c r="B42">
        <v>2</v>
      </c>
    </row>
    <row r="43" spans="1:2" x14ac:dyDescent="0.2">
      <c r="A43" t="s">
        <v>92</v>
      </c>
      <c r="B43">
        <v>2</v>
      </c>
    </row>
    <row r="44" spans="1:2" x14ac:dyDescent="0.2">
      <c r="A44" t="s">
        <v>122</v>
      </c>
      <c r="B44">
        <v>2</v>
      </c>
    </row>
    <row r="45" spans="1:2" x14ac:dyDescent="0.2">
      <c r="A45" t="s">
        <v>120</v>
      </c>
      <c r="B45">
        <v>2</v>
      </c>
    </row>
    <row r="46" spans="1:2" x14ac:dyDescent="0.2">
      <c r="A46" t="s">
        <v>118</v>
      </c>
      <c r="B46">
        <v>2</v>
      </c>
    </row>
    <row r="47" spans="1:2" x14ac:dyDescent="0.2">
      <c r="A47" t="s">
        <v>102</v>
      </c>
      <c r="B47">
        <v>2</v>
      </c>
    </row>
    <row r="48" spans="1:2" x14ac:dyDescent="0.2">
      <c r="A48" t="s">
        <v>90</v>
      </c>
      <c r="B48">
        <v>2</v>
      </c>
    </row>
    <row r="49" spans="1:2" x14ac:dyDescent="0.2">
      <c r="A49" t="s">
        <v>64</v>
      </c>
      <c r="B49">
        <v>2</v>
      </c>
    </row>
    <row r="50" spans="1:2" x14ac:dyDescent="0.2">
      <c r="A50" t="s">
        <v>112</v>
      </c>
      <c r="B50">
        <v>2</v>
      </c>
    </row>
    <row r="51" spans="1:2" x14ac:dyDescent="0.2">
      <c r="A51" t="s">
        <v>98</v>
      </c>
      <c r="B51">
        <v>2</v>
      </c>
    </row>
    <row r="52" spans="1:2" x14ac:dyDescent="0.2">
      <c r="A52" t="s">
        <v>126</v>
      </c>
      <c r="B52">
        <v>1</v>
      </c>
    </row>
    <row r="53" spans="1:2" x14ac:dyDescent="0.2">
      <c r="A53" t="s">
        <v>144</v>
      </c>
      <c r="B53">
        <v>1</v>
      </c>
    </row>
    <row r="54" spans="1:2" x14ac:dyDescent="0.2">
      <c r="A54" t="s">
        <v>128</v>
      </c>
      <c r="B54">
        <v>1</v>
      </c>
    </row>
    <row r="55" spans="1:2" x14ac:dyDescent="0.2">
      <c r="A55" t="s">
        <v>130</v>
      </c>
      <c r="B55">
        <v>1</v>
      </c>
    </row>
    <row r="56" spans="1:2" x14ac:dyDescent="0.2">
      <c r="A56" t="s">
        <v>124</v>
      </c>
      <c r="B56">
        <v>1</v>
      </c>
    </row>
    <row r="57" spans="1:2" x14ac:dyDescent="0.2">
      <c r="A57" t="s">
        <v>66</v>
      </c>
      <c r="B57">
        <v>1</v>
      </c>
    </row>
    <row r="58" spans="1:2" x14ac:dyDescent="0.2">
      <c r="A58" t="s">
        <v>148</v>
      </c>
      <c r="B58">
        <v>1</v>
      </c>
    </row>
    <row r="59" spans="1:2" x14ac:dyDescent="0.2">
      <c r="A59" t="s">
        <v>134</v>
      </c>
      <c r="B59">
        <v>1</v>
      </c>
    </row>
    <row r="60" spans="1:2" x14ac:dyDescent="0.2">
      <c r="A60" t="s">
        <v>146</v>
      </c>
      <c r="B60">
        <v>1</v>
      </c>
    </row>
    <row r="61" spans="1:2" x14ac:dyDescent="0.2">
      <c r="A61" t="s">
        <v>136</v>
      </c>
      <c r="B61">
        <v>1</v>
      </c>
    </row>
    <row r="62" spans="1:2" x14ac:dyDescent="0.2">
      <c r="A62" t="s">
        <v>82</v>
      </c>
      <c r="B62">
        <v>1</v>
      </c>
    </row>
    <row r="63" spans="1:2" x14ac:dyDescent="0.2">
      <c r="A63" t="s">
        <v>154</v>
      </c>
      <c r="B63">
        <v>1</v>
      </c>
    </row>
    <row r="64" spans="1:2" x14ac:dyDescent="0.2">
      <c r="A64" t="s">
        <v>110</v>
      </c>
      <c r="B64">
        <v>1</v>
      </c>
    </row>
    <row r="65" spans="1:2" x14ac:dyDescent="0.2">
      <c r="A65" t="s">
        <v>142</v>
      </c>
      <c r="B65">
        <v>1</v>
      </c>
    </row>
    <row r="66" spans="1:2" x14ac:dyDescent="0.2">
      <c r="A66" t="s">
        <v>104</v>
      </c>
      <c r="B66">
        <v>1</v>
      </c>
    </row>
    <row r="67" spans="1:2" x14ac:dyDescent="0.2">
      <c r="A67" t="s">
        <v>114</v>
      </c>
      <c r="B6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879D-6C5C-5046-9381-17284DF009CA}">
  <dimension ref="A1:B64"/>
  <sheetViews>
    <sheetView topLeftCell="A23" workbookViewId="0">
      <selection activeCell="E10" sqref="E10"/>
    </sheetView>
  </sheetViews>
  <sheetFormatPr baseColWidth="10" defaultRowHeight="15" x14ac:dyDescent="0.2"/>
  <cols>
    <col min="1" max="1" width="13.5" bestFit="1" customWidth="1"/>
  </cols>
  <sheetData>
    <row r="1" spans="1:2" x14ac:dyDescent="0.2">
      <c r="A1" s="1" t="s">
        <v>2</v>
      </c>
      <c r="B1" s="1" t="s">
        <v>1</v>
      </c>
    </row>
    <row r="2" spans="1:2" x14ac:dyDescent="0.2">
      <c r="A2" t="s">
        <v>6</v>
      </c>
      <c r="B2">
        <v>282</v>
      </c>
    </row>
    <row r="3" spans="1:2" x14ac:dyDescent="0.2">
      <c r="A3" t="s">
        <v>4</v>
      </c>
      <c r="B3">
        <v>243</v>
      </c>
    </row>
    <row r="4" spans="1:2" x14ac:dyDescent="0.2">
      <c r="A4" t="s">
        <v>8</v>
      </c>
      <c r="B4">
        <v>194</v>
      </c>
    </row>
    <row r="5" spans="1:2" x14ac:dyDescent="0.2">
      <c r="A5" t="s">
        <v>12</v>
      </c>
      <c r="B5">
        <v>112</v>
      </c>
    </row>
    <row r="6" spans="1:2" x14ac:dyDescent="0.2">
      <c r="A6" t="s">
        <v>10</v>
      </c>
      <c r="B6">
        <v>107</v>
      </c>
    </row>
    <row r="7" spans="1:2" x14ac:dyDescent="0.2">
      <c r="A7" t="s">
        <v>14</v>
      </c>
      <c r="B7">
        <v>74</v>
      </c>
    </row>
    <row r="8" spans="1:2" x14ac:dyDescent="0.2">
      <c r="A8" t="s">
        <v>16</v>
      </c>
      <c r="B8">
        <v>62</v>
      </c>
    </row>
    <row r="9" spans="1:2" x14ac:dyDescent="0.2">
      <c r="A9" t="s">
        <v>20</v>
      </c>
      <c r="B9">
        <v>35</v>
      </c>
    </row>
    <row r="10" spans="1:2" x14ac:dyDescent="0.2">
      <c r="A10" t="s">
        <v>22</v>
      </c>
      <c r="B10">
        <v>34</v>
      </c>
    </row>
    <row r="11" spans="1:2" x14ac:dyDescent="0.2">
      <c r="A11" t="s">
        <v>18</v>
      </c>
      <c r="B11">
        <v>29</v>
      </c>
    </row>
    <row r="12" spans="1:2" x14ac:dyDescent="0.2">
      <c r="A12" t="s">
        <v>30</v>
      </c>
      <c r="B12">
        <v>26</v>
      </c>
    </row>
    <row r="13" spans="1:2" x14ac:dyDescent="0.2">
      <c r="A13" t="s">
        <v>32</v>
      </c>
      <c r="B13">
        <v>26</v>
      </c>
    </row>
    <row r="14" spans="1:2" x14ac:dyDescent="0.2">
      <c r="A14" t="s">
        <v>24</v>
      </c>
      <c r="B14">
        <v>18</v>
      </c>
    </row>
    <row r="15" spans="1:2" x14ac:dyDescent="0.2">
      <c r="A15" t="s">
        <v>38</v>
      </c>
      <c r="B15">
        <v>18</v>
      </c>
    </row>
    <row r="16" spans="1:2" x14ac:dyDescent="0.2">
      <c r="A16" t="s">
        <v>26</v>
      </c>
      <c r="B16">
        <v>16</v>
      </c>
    </row>
    <row r="17" spans="1:2" x14ac:dyDescent="0.2">
      <c r="A17" t="s">
        <v>28</v>
      </c>
      <c r="B17">
        <v>14</v>
      </c>
    </row>
    <row r="18" spans="1:2" x14ac:dyDescent="0.2">
      <c r="A18" t="s">
        <v>42</v>
      </c>
      <c r="B18">
        <v>13</v>
      </c>
    </row>
    <row r="19" spans="1:2" x14ac:dyDescent="0.2">
      <c r="A19" t="s">
        <v>34</v>
      </c>
      <c r="B19">
        <v>12</v>
      </c>
    </row>
    <row r="20" spans="1:2" x14ac:dyDescent="0.2">
      <c r="A20" t="s">
        <v>36</v>
      </c>
      <c r="B20">
        <v>11</v>
      </c>
    </row>
    <row r="21" spans="1:2" x14ac:dyDescent="0.2">
      <c r="A21" t="s">
        <v>46</v>
      </c>
      <c r="B21">
        <v>9</v>
      </c>
    </row>
    <row r="22" spans="1:2" x14ac:dyDescent="0.2">
      <c r="A22" t="s">
        <v>58</v>
      </c>
      <c r="B22">
        <v>8</v>
      </c>
    </row>
    <row r="23" spans="1:2" x14ac:dyDescent="0.2">
      <c r="A23" t="s">
        <v>54</v>
      </c>
      <c r="B23">
        <v>8</v>
      </c>
    </row>
    <row r="24" spans="1:2" x14ac:dyDescent="0.2">
      <c r="A24" t="s">
        <v>44</v>
      </c>
      <c r="B24">
        <v>8</v>
      </c>
    </row>
    <row r="25" spans="1:2" x14ac:dyDescent="0.2">
      <c r="A25" t="s">
        <v>60</v>
      </c>
      <c r="B25">
        <v>7</v>
      </c>
    </row>
    <row r="26" spans="1:2" x14ac:dyDescent="0.2">
      <c r="A26" t="s">
        <v>50</v>
      </c>
      <c r="B26">
        <v>6</v>
      </c>
    </row>
    <row r="27" spans="1:2" x14ac:dyDescent="0.2">
      <c r="A27" t="s">
        <v>68</v>
      </c>
      <c r="B27">
        <v>6</v>
      </c>
    </row>
    <row r="28" spans="1:2" x14ac:dyDescent="0.2">
      <c r="A28" t="s">
        <v>48</v>
      </c>
      <c r="B28">
        <v>5</v>
      </c>
    </row>
    <row r="29" spans="1:2" x14ac:dyDescent="0.2">
      <c r="A29" t="s">
        <v>70</v>
      </c>
      <c r="B29">
        <v>5</v>
      </c>
    </row>
    <row r="30" spans="1:2" x14ac:dyDescent="0.2">
      <c r="A30" t="s">
        <v>74</v>
      </c>
      <c r="B30">
        <v>5</v>
      </c>
    </row>
    <row r="31" spans="1:2" x14ac:dyDescent="0.2">
      <c r="A31" t="s">
        <v>40</v>
      </c>
      <c r="B31">
        <v>5</v>
      </c>
    </row>
    <row r="32" spans="1:2" x14ac:dyDescent="0.2">
      <c r="A32" t="s">
        <v>52</v>
      </c>
      <c r="B32">
        <v>4</v>
      </c>
    </row>
    <row r="33" spans="1:2" x14ac:dyDescent="0.2">
      <c r="A33" t="s">
        <v>86</v>
      </c>
      <c r="B33">
        <v>4</v>
      </c>
    </row>
    <row r="34" spans="1:2" x14ac:dyDescent="0.2">
      <c r="A34" t="s">
        <v>84</v>
      </c>
      <c r="B34">
        <v>4</v>
      </c>
    </row>
    <row r="35" spans="1:2" x14ac:dyDescent="0.2">
      <c r="A35" t="s">
        <v>76</v>
      </c>
      <c r="B35">
        <v>4</v>
      </c>
    </row>
    <row r="36" spans="1:2" x14ac:dyDescent="0.2">
      <c r="A36" t="s">
        <v>72</v>
      </c>
      <c r="B36">
        <v>4</v>
      </c>
    </row>
    <row r="37" spans="1:2" x14ac:dyDescent="0.2">
      <c r="A37" t="s">
        <v>56</v>
      </c>
      <c r="B37">
        <v>3</v>
      </c>
    </row>
    <row r="38" spans="1:2" x14ac:dyDescent="0.2">
      <c r="A38" t="s">
        <v>96</v>
      </c>
      <c r="B38">
        <v>3</v>
      </c>
    </row>
    <row r="39" spans="1:2" x14ac:dyDescent="0.2">
      <c r="A39" t="s">
        <v>88</v>
      </c>
      <c r="B39">
        <v>3</v>
      </c>
    </row>
    <row r="40" spans="1:2" x14ac:dyDescent="0.2">
      <c r="A40" t="s">
        <v>102</v>
      </c>
      <c r="B40">
        <v>2</v>
      </c>
    </row>
    <row r="41" spans="1:2" x14ac:dyDescent="0.2">
      <c r="A41" t="s">
        <v>92</v>
      </c>
      <c r="B41">
        <v>2</v>
      </c>
    </row>
    <row r="42" spans="1:2" x14ac:dyDescent="0.2">
      <c r="A42" t="s">
        <v>122</v>
      </c>
      <c r="B42">
        <v>2</v>
      </c>
    </row>
    <row r="43" spans="1:2" x14ac:dyDescent="0.2">
      <c r="A43" t="s">
        <v>90</v>
      </c>
      <c r="B43">
        <v>2</v>
      </c>
    </row>
    <row r="44" spans="1:2" x14ac:dyDescent="0.2">
      <c r="A44" t="s">
        <v>120</v>
      </c>
      <c r="B44">
        <v>2</v>
      </c>
    </row>
    <row r="45" spans="1:2" x14ac:dyDescent="0.2">
      <c r="A45" t="s">
        <v>112</v>
      </c>
      <c r="B45">
        <v>2</v>
      </c>
    </row>
    <row r="46" spans="1:2" x14ac:dyDescent="0.2">
      <c r="A46" t="s">
        <v>106</v>
      </c>
      <c r="B46">
        <v>2</v>
      </c>
    </row>
    <row r="47" spans="1:2" x14ac:dyDescent="0.2">
      <c r="A47" t="s">
        <v>94</v>
      </c>
      <c r="B47">
        <v>1</v>
      </c>
    </row>
    <row r="48" spans="1:2" x14ac:dyDescent="0.2">
      <c r="A48" t="s">
        <v>128</v>
      </c>
      <c r="B48">
        <v>1</v>
      </c>
    </row>
    <row r="49" spans="1:2" x14ac:dyDescent="0.2">
      <c r="A49" t="s">
        <v>134</v>
      </c>
      <c r="B49">
        <v>1</v>
      </c>
    </row>
    <row r="50" spans="1:2" x14ac:dyDescent="0.2">
      <c r="A50" t="s">
        <v>126</v>
      </c>
      <c r="B50">
        <v>1</v>
      </c>
    </row>
    <row r="51" spans="1:2" x14ac:dyDescent="0.2">
      <c r="A51" t="s">
        <v>66</v>
      </c>
      <c r="B51">
        <v>1</v>
      </c>
    </row>
    <row r="52" spans="1:2" x14ac:dyDescent="0.2">
      <c r="A52" t="s">
        <v>118</v>
      </c>
      <c r="B52">
        <v>1</v>
      </c>
    </row>
    <row r="53" spans="1:2" x14ac:dyDescent="0.2">
      <c r="A53" t="s">
        <v>154</v>
      </c>
      <c r="B53">
        <v>1</v>
      </c>
    </row>
    <row r="54" spans="1:2" x14ac:dyDescent="0.2">
      <c r="A54" t="s">
        <v>104</v>
      </c>
      <c r="B54">
        <v>1</v>
      </c>
    </row>
    <row r="55" spans="1:2" x14ac:dyDescent="0.2">
      <c r="A55" t="s">
        <v>146</v>
      </c>
      <c r="B55">
        <v>1</v>
      </c>
    </row>
    <row r="56" spans="1:2" x14ac:dyDescent="0.2">
      <c r="A56" t="s">
        <v>142</v>
      </c>
      <c r="B56">
        <v>1</v>
      </c>
    </row>
    <row r="57" spans="1:2" x14ac:dyDescent="0.2">
      <c r="A57" t="s">
        <v>64</v>
      </c>
      <c r="B57">
        <v>1</v>
      </c>
    </row>
    <row r="58" spans="1:2" x14ac:dyDescent="0.2">
      <c r="A58" t="s">
        <v>136</v>
      </c>
      <c r="B58">
        <v>1</v>
      </c>
    </row>
    <row r="59" spans="1:2" x14ac:dyDescent="0.2">
      <c r="A59" t="s">
        <v>148</v>
      </c>
      <c r="B59">
        <v>1</v>
      </c>
    </row>
    <row r="60" spans="1:2" x14ac:dyDescent="0.2">
      <c r="A60" t="s">
        <v>144</v>
      </c>
      <c r="B60">
        <v>1</v>
      </c>
    </row>
    <row r="61" spans="1:2" x14ac:dyDescent="0.2">
      <c r="A61" t="s">
        <v>124</v>
      </c>
      <c r="B61">
        <v>1</v>
      </c>
    </row>
    <row r="62" spans="1:2" x14ac:dyDescent="0.2">
      <c r="A62" t="s">
        <v>98</v>
      </c>
      <c r="B62">
        <v>1</v>
      </c>
    </row>
    <row r="63" spans="1:2" x14ac:dyDescent="0.2">
      <c r="A63" t="s">
        <v>130</v>
      </c>
      <c r="B63">
        <v>1</v>
      </c>
    </row>
    <row r="64" spans="1:2" x14ac:dyDescent="0.2">
      <c r="A64" t="s">
        <v>114</v>
      </c>
      <c r="B6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D48F-3A72-924A-B974-9B7948B2BFB0}">
  <dimension ref="A1:B61"/>
  <sheetViews>
    <sheetView topLeftCell="A20" workbookViewId="0">
      <selection activeCell="F22" sqref="F22"/>
    </sheetView>
  </sheetViews>
  <sheetFormatPr baseColWidth="10" defaultRowHeight="15" x14ac:dyDescent="0.2"/>
  <sheetData>
    <row r="1" spans="1:2" x14ac:dyDescent="0.2">
      <c r="A1" s="1" t="s">
        <v>2</v>
      </c>
      <c r="B1" s="1" t="s">
        <v>1</v>
      </c>
    </row>
    <row r="2" spans="1:2" x14ac:dyDescent="0.2">
      <c r="A2" t="s">
        <v>6</v>
      </c>
      <c r="B2">
        <v>234</v>
      </c>
    </row>
    <row r="3" spans="1:2" x14ac:dyDescent="0.2">
      <c r="A3" t="s">
        <v>8</v>
      </c>
      <c r="B3">
        <v>145</v>
      </c>
    </row>
    <row r="4" spans="1:2" x14ac:dyDescent="0.2">
      <c r="A4" t="s">
        <v>4</v>
      </c>
      <c r="B4">
        <v>102</v>
      </c>
    </row>
    <row r="5" spans="1:2" x14ac:dyDescent="0.2">
      <c r="A5" t="s">
        <v>10</v>
      </c>
      <c r="B5">
        <v>86</v>
      </c>
    </row>
    <row r="6" spans="1:2" x14ac:dyDescent="0.2">
      <c r="A6" t="s">
        <v>12</v>
      </c>
      <c r="B6">
        <v>80</v>
      </c>
    </row>
    <row r="7" spans="1:2" x14ac:dyDescent="0.2">
      <c r="A7" t="s">
        <v>16</v>
      </c>
      <c r="B7">
        <v>56</v>
      </c>
    </row>
    <row r="8" spans="1:2" x14ac:dyDescent="0.2">
      <c r="A8" t="s">
        <v>14</v>
      </c>
      <c r="B8">
        <v>55</v>
      </c>
    </row>
    <row r="9" spans="1:2" x14ac:dyDescent="0.2">
      <c r="A9" t="s">
        <v>20</v>
      </c>
      <c r="B9">
        <v>31</v>
      </c>
    </row>
    <row r="10" spans="1:2" x14ac:dyDescent="0.2">
      <c r="A10" t="s">
        <v>22</v>
      </c>
      <c r="B10">
        <v>29</v>
      </c>
    </row>
    <row r="11" spans="1:2" x14ac:dyDescent="0.2">
      <c r="A11" t="s">
        <v>30</v>
      </c>
      <c r="B11">
        <v>26</v>
      </c>
    </row>
    <row r="12" spans="1:2" x14ac:dyDescent="0.2">
      <c r="A12" t="s">
        <v>32</v>
      </c>
      <c r="B12">
        <v>23</v>
      </c>
    </row>
    <row r="13" spans="1:2" x14ac:dyDescent="0.2">
      <c r="A13" t="s">
        <v>18</v>
      </c>
      <c r="B13">
        <v>19</v>
      </c>
    </row>
    <row r="14" spans="1:2" x14ac:dyDescent="0.2">
      <c r="A14" t="s">
        <v>38</v>
      </c>
      <c r="B14">
        <v>17</v>
      </c>
    </row>
    <row r="15" spans="1:2" x14ac:dyDescent="0.2">
      <c r="A15" t="s">
        <v>42</v>
      </c>
      <c r="B15">
        <v>13</v>
      </c>
    </row>
    <row r="16" spans="1:2" x14ac:dyDescent="0.2">
      <c r="A16" t="s">
        <v>28</v>
      </c>
      <c r="B16">
        <v>13</v>
      </c>
    </row>
    <row r="17" spans="1:2" x14ac:dyDescent="0.2">
      <c r="A17" t="s">
        <v>46</v>
      </c>
      <c r="B17">
        <v>9</v>
      </c>
    </row>
    <row r="18" spans="1:2" x14ac:dyDescent="0.2">
      <c r="A18" t="s">
        <v>24</v>
      </c>
      <c r="B18">
        <v>9</v>
      </c>
    </row>
    <row r="19" spans="1:2" x14ac:dyDescent="0.2">
      <c r="A19" t="s">
        <v>36</v>
      </c>
      <c r="B19">
        <v>9</v>
      </c>
    </row>
    <row r="20" spans="1:2" x14ac:dyDescent="0.2">
      <c r="A20" t="s">
        <v>26</v>
      </c>
      <c r="B20">
        <v>9</v>
      </c>
    </row>
    <row r="21" spans="1:2" x14ac:dyDescent="0.2">
      <c r="A21" t="s">
        <v>58</v>
      </c>
      <c r="B21">
        <v>8</v>
      </c>
    </row>
    <row r="22" spans="1:2" x14ac:dyDescent="0.2">
      <c r="A22" t="s">
        <v>34</v>
      </c>
      <c r="B22">
        <v>7</v>
      </c>
    </row>
    <row r="23" spans="1:2" x14ac:dyDescent="0.2">
      <c r="A23" t="s">
        <v>54</v>
      </c>
      <c r="B23">
        <v>7</v>
      </c>
    </row>
    <row r="24" spans="1:2" x14ac:dyDescent="0.2">
      <c r="A24" t="s">
        <v>44</v>
      </c>
      <c r="B24">
        <v>6</v>
      </c>
    </row>
    <row r="25" spans="1:2" x14ac:dyDescent="0.2">
      <c r="A25" t="s">
        <v>50</v>
      </c>
      <c r="B25">
        <v>6</v>
      </c>
    </row>
    <row r="26" spans="1:2" x14ac:dyDescent="0.2">
      <c r="A26" t="s">
        <v>74</v>
      </c>
      <c r="B26">
        <v>5</v>
      </c>
    </row>
    <row r="27" spans="1:2" x14ac:dyDescent="0.2">
      <c r="A27" t="s">
        <v>48</v>
      </c>
      <c r="B27">
        <v>5</v>
      </c>
    </row>
    <row r="28" spans="1:2" x14ac:dyDescent="0.2">
      <c r="A28" t="s">
        <v>70</v>
      </c>
      <c r="B28">
        <v>5</v>
      </c>
    </row>
    <row r="29" spans="1:2" x14ac:dyDescent="0.2">
      <c r="A29" t="s">
        <v>68</v>
      </c>
      <c r="B29">
        <v>4</v>
      </c>
    </row>
    <row r="30" spans="1:2" x14ac:dyDescent="0.2">
      <c r="A30" t="s">
        <v>76</v>
      </c>
      <c r="B30">
        <v>4</v>
      </c>
    </row>
    <row r="31" spans="1:2" x14ac:dyDescent="0.2">
      <c r="A31" t="s">
        <v>86</v>
      </c>
      <c r="B31">
        <v>4</v>
      </c>
    </row>
    <row r="32" spans="1:2" x14ac:dyDescent="0.2">
      <c r="A32" t="s">
        <v>84</v>
      </c>
      <c r="B32">
        <v>4</v>
      </c>
    </row>
    <row r="33" spans="1:2" x14ac:dyDescent="0.2">
      <c r="A33" t="s">
        <v>72</v>
      </c>
      <c r="B33">
        <v>4</v>
      </c>
    </row>
    <row r="34" spans="1:2" x14ac:dyDescent="0.2">
      <c r="A34" t="s">
        <v>52</v>
      </c>
      <c r="B34">
        <v>4</v>
      </c>
    </row>
    <row r="35" spans="1:2" x14ac:dyDescent="0.2">
      <c r="A35" t="s">
        <v>40</v>
      </c>
      <c r="B35">
        <v>3</v>
      </c>
    </row>
    <row r="36" spans="1:2" x14ac:dyDescent="0.2">
      <c r="A36" t="s">
        <v>56</v>
      </c>
      <c r="B36">
        <v>3</v>
      </c>
    </row>
    <row r="37" spans="1:2" x14ac:dyDescent="0.2">
      <c r="A37" t="s">
        <v>96</v>
      </c>
      <c r="B37">
        <v>2</v>
      </c>
    </row>
    <row r="38" spans="1:2" x14ac:dyDescent="0.2">
      <c r="A38" t="s">
        <v>106</v>
      </c>
      <c r="B38">
        <v>2</v>
      </c>
    </row>
    <row r="39" spans="1:2" x14ac:dyDescent="0.2">
      <c r="A39" t="s">
        <v>102</v>
      </c>
      <c r="B39">
        <v>2</v>
      </c>
    </row>
    <row r="40" spans="1:2" x14ac:dyDescent="0.2">
      <c r="A40" t="s">
        <v>120</v>
      </c>
      <c r="B40">
        <v>2</v>
      </c>
    </row>
    <row r="41" spans="1:2" x14ac:dyDescent="0.2">
      <c r="A41" t="s">
        <v>92</v>
      </c>
      <c r="B41">
        <v>2</v>
      </c>
    </row>
    <row r="42" spans="1:2" x14ac:dyDescent="0.2">
      <c r="A42" t="s">
        <v>122</v>
      </c>
      <c r="B42">
        <v>2</v>
      </c>
    </row>
    <row r="43" spans="1:2" x14ac:dyDescent="0.2">
      <c r="A43" t="s">
        <v>90</v>
      </c>
      <c r="B43">
        <v>2</v>
      </c>
    </row>
    <row r="44" spans="1:2" x14ac:dyDescent="0.2">
      <c r="A44" t="s">
        <v>104</v>
      </c>
      <c r="B44">
        <v>1</v>
      </c>
    </row>
    <row r="45" spans="1:2" x14ac:dyDescent="0.2">
      <c r="A45" t="s">
        <v>88</v>
      </c>
      <c r="B45">
        <v>1</v>
      </c>
    </row>
    <row r="46" spans="1:2" x14ac:dyDescent="0.2">
      <c r="A46" t="s">
        <v>126</v>
      </c>
      <c r="B46">
        <v>1</v>
      </c>
    </row>
    <row r="47" spans="1:2" x14ac:dyDescent="0.2">
      <c r="A47" t="s">
        <v>128</v>
      </c>
      <c r="B47">
        <v>1</v>
      </c>
    </row>
    <row r="48" spans="1:2" x14ac:dyDescent="0.2">
      <c r="A48" t="s">
        <v>134</v>
      </c>
      <c r="B48">
        <v>1</v>
      </c>
    </row>
    <row r="49" spans="1:2" x14ac:dyDescent="0.2">
      <c r="A49" t="s">
        <v>94</v>
      </c>
      <c r="B49">
        <v>1</v>
      </c>
    </row>
    <row r="50" spans="1:2" x14ac:dyDescent="0.2">
      <c r="A50" t="s">
        <v>136</v>
      </c>
      <c r="B50">
        <v>1</v>
      </c>
    </row>
    <row r="51" spans="1:2" x14ac:dyDescent="0.2">
      <c r="A51" t="s">
        <v>154</v>
      </c>
      <c r="B51">
        <v>1</v>
      </c>
    </row>
    <row r="52" spans="1:2" x14ac:dyDescent="0.2">
      <c r="A52" t="s">
        <v>66</v>
      </c>
      <c r="B52">
        <v>1</v>
      </c>
    </row>
    <row r="53" spans="1:2" x14ac:dyDescent="0.2">
      <c r="A53" t="s">
        <v>124</v>
      </c>
      <c r="B53">
        <v>1</v>
      </c>
    </row>
    <row r="54" spans="1:2" x14ac:dyDescent="0.2">
      <c r="A54" t="s">
        <v>148</v>
      </c>
      <c r="B54">
        <v>1</v>
      </c>
    </row>
    <row r="55" spans="1:2" x14ac:dyDescent="0.2">
      <c r="A55" t="s">
        <v>64</v>
      </c>
      <c r="B55">
        <v>1</v>
      </c>
    </row>
    <row r="56" spans="1:2" x14ac:dyDescent="0.2">
      <c r="A56" t="s">
        <v>142</v>
      </c>
      <c r="B56">
        <v>1</v>
      </c>
    </row>
    <row r="57" spans="1:2" x14ac:dyDescent="0.2">
      <c r="A57" t="s">
        <v>98</v>
      </c>
      <c r="B57">
        <v>1</v>
      </c>
    </row>
    <row r="58" spans="1:2" x14ac:dyDescent="0.2">
      <c r="A58" t="s">
        <v>146</v>
      </c>
      <c r="B58">
        <v>1</v>
      </c>
    </row>
    <row r="59" spans="1:2" x14ac:dyDescent="0.2">
      <c r="A59" t="s">
        <v>118</v>
      </c>
      <c r="B59">
        <v>1</v>
      </c>
    </row>
    <row r="60" spans="1:2" x14ac:dyDescent="0.2">
      <c r="A60" t="s">
        <v>130</v>
      </c>
      <c r="B60">
        <v>1</v>
      </c>
    </row>
    <row r="61" spans="1:2" x14ac:dyDescent="0.2">
      <c r="A61" t="s">
        <v>114</v>
      </c>
      <c r="B6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FD84-12FC-0643-B3F0-25368D88D5BA}">
  <dimension ref="A1:B48"/>
  <sheetViews>
    <sheetView topLeftCell="A7" workbookViewId="0">
      <selection activeCell="E9" sqref="E9"/>
    </sheetView>
  </sheetViews>
  <sheetFormatPr baseColWidth="10" defaultRowHeight="15" x14ac:dyDescent="0.2"/>
  <cols>
    <col min="1" max="1" width="13.5" bestFit="1" customWidth="1"/>
  </cols>
  <sheetData>
    <row r="1" spans="1:2" x14ac:dyDescent="0.2">
      <c r="A1" s="1" t="s">
        <v>2</v>
      </c>
      <c r="B1" s="1" t="s">
        <v>1</v>
      </c>
    </row>
    <row r="2" spans="1:2" x14ac:dyDescent="0.2">
      <c r="A2" t="s">
        <v>6</v>
      </c>
      <c r="B2">
        <v>166</v>
      </c>
    </row>
    <row r="3" spans="1:2" x14ac:dyDescent="0.2">
      <c r="A3" t="s">
        <v>8</v>
      </c>
      <c r="B3">
        <v>97</v>
      </c>
    </row>
    <row r="4" spans="1:2" x14ac:dyDescent="0.2">
      <c r="A4" t="s">
        <v>4</v>
      </c>
      <c r="B4">
        <v>73</v>
      </c>
    </row>
    <row r="5" spans="1:2" x14ac:dyDescent="0.2">
      <c r="A5" t="s">
        <v>12</v>
      </c>
      <c r="B5">
        <v>51</v>
      </c>
    </row>
    <row r="6" spans="1:2" x14ac:dyDescent="0.2">
      <c r="A6" t="s">
        <v>10</v>
      </c>
      <c r="B6">
        <v>50</v>
      </c>
    </row>
    <row r="7" spans="1:2" x14ac:dyDescent="0.2">
      <c r="A7" t="s">
        <v>14</v>
      </c>
      <c r="B7">
        <v>45</v>
      </c>
    </row>
    <row r="8" spans="1:2" x14ac:dyDescent="0.2">
      <c r="A8" t="s">
        <v>16</v>
      </c>
      <c r="B8">
        <v>42</v>
      </c>
    </row>
    <row r="9" spans="1:2" x14ac:dyDescent="0.2">
      <c r="A9" t="s">
        <v>30</v>
      </c>
      <c r="B9">
        <v>25</v>
      </c>
    </row>
    <row r="10" spans="1:2" x14ac:dyDescent="0.2">
      <c r="A10" t="s">
        <v>20</v>
      </c>
      <c r="B10">
        <v>24</v>
      </c>
    </row>
    <row r="11" spans="1:2" x14ac:dyDescent="0.2">
      <c r="A11" t="s">
        <v>32</v>
      </c>
      <c r="B11">
        <v>23</v>
      </c>
    </row>
    <row r="12" spans="1:2" x14ac:dyDescent="0.2">
      <c r="A12" t="s">
        <v>38</v>
      </c>
      <c r="B12">
        <v>17</v>
      </c>
    </row>
    <row r="13" spans="1:2" x14ac:dyDescent="0.2">
      <c r="A13" t="s">
        <v>42</v>
      </c>
      <c r="B13">
        <v>13</v>
      </c>
    </row>
    <row r="14" spans="1:2" x14ac:dyDescent="0.2">
      <c r="A14" t="s">
        <v>18</v>
      </c>
      <c r="B14">
        <v>13</v>
      </c>
    </row>
    <row r="15" spans="1:2" x14ac:dyDescent="0.2">
      <c r="A15" t="s">
        <v>28</v>
      </c>
      <c r="B15">
        <v>11</v>
      </c>
    </row>
    <row r="16" spans="1:2" x14ac:dyDescent="0.2">
      <c r="A16" t="s">
        <v>36</v>
      </c>
      <c r="B16">
        <v>9</v>
      </c>
    </row>
    <row r="17" spans="1:2" x14ac:dyDescent="0.2">
      <c r="A17" t="s">
        <v>58</v>
      </c>
      <c r="B17">
        <v>8</v>
      </c>
    </row>
    <row r="18" spans="1:2" x14ac:dyDescent="0.2">
      <c r="A18" t="s">
        <v>46</v>
      </c>
      <c r="B18">
        <v>8</v>
      </c>
    </row>
    <row r="19" spans="1:2" x14ac:dyDescent="0.2">
      <c r="A19" t="s">
        <v>50</v>
      </c>
      <c r="B19">
        <v>6</v>
      </c>
    </row>
    <row r="20" spans="1:2" x14ac:dyDescent="0.2">
      <c r="A20" t="s">
        <v>22</v>
      </c>
      <c r="B20">
        <v>6</v>
      </c>
    </row>
    <row r="21" spans="1:2" x14ac:dyDescent="0.2">
      <c r="A21" t="s">
        <v>24</v>
      </c>
      <c r="B21">
        <v>6</v>
      </c>
    </row>
    <row r="22" spans="1:2" x14ac:dyDescent="0.2">
      <c r="A22" t="s">
        <v>34</v>
      </c>
      <c r="B22">
        <v>5</v>
      </c>
    </row>
    <row r="23" spans="1:2" x14ac:dyDescent="0.2">
      <c r="A23" t="s">
        <v>70</v>
      </c>
      <c r="B23">
        <v>5</v>
      </c>
    </row>
    <row r="24" spans="1:2" x14ac:dyDescent="0.2">
      <c r="A24" t="s">
        <v>44</v>
      </c>
      <c r="B24">
        <v>4</v>
      </c>
    </row>
    <row r="25" spans="1:2" x14ac:dyDescent="0.2">
      <c r="A25" t="s">
        <v>52</v>
      </c>
      <c r="B25">
        <v>4</v>
      </c>
    </row>
    <row r="26" spans="1:2" x14ac:dyDescent="0.2">
      <c r="A26" t="s">
        <v>26</v>
      </c>
      <c r="B26">
        <v>4</v>
      </c>
    </row>
    <row r="27" spans="1:2" x14ac:dyDescent="0.2">
      <c r="A27" t="s">
        <v>68</v>
      </c>
      <c r="B27">
        <v>3</v>
      </c>
    </row>
    <row r="28" spans="1:2" x14ac:dyDescent="0.2">
      <c r="A28" t="s">
        <v>102</v>
      </c>
      <c r="B28">
        <v>2</v>
      </c>
    </row>
    <row r="29" spans="1:2" x14ac:dyDescent="0.2">
      <c r="A29" t="s">
        <v>90</v>
      </c>
      <c r="B29">
        <v>2</v>
      </c>
    </row>
    <row r="30" spans="1:2" x14ac:dyDescent="0.2">
      <c r="A30" t="s">
        <v>40</v>
      </c>
      <c r="B30">
        <v>2</v>
      </c>
    </row>
    <row r="31" spans="1:2" x14ac:dyDescent="0.2">
      <c r="A31" t="s">
        <v>96</v>
      </c>
      <c r="B31">
        <v>2</v>
      </c>
    </row>
    <row r="32" spans="1:2" x14ac:dyDescent="0.2">
      <c r="A32" t="s">
        <v>136</v>
      </c>
      <c r="B32">
        <v>1</v>
      </c>
    </row>
    <row r="33" spans="1:2" x14ac:dyDescent="0.2">
      <c r="A33" t="s">
        <v>66</v>
      </c>
      <c r="B33">
        <v>1</v>
      </c>
    </row>
    <row r="34" spans="1:2" x14ac:dyDescent="0.2">
      <c r="A34" t="s">
        <v>94</v>
      </c>
      <c r="B34">
        <v>1</v>
      </c>
    </row>
    <row r="35" spans="1:2" x14ac:dyDescent="0.2">
      <c r="A35" t="s">
        <v>72</v>
      </c>
      <c r="B35">
        <v>1</v>
      </c>
    </row>
    <row r="36" spans="1:2" x14ac:dyDescent="0.2">
      <c r="A36" t="s">
        <v>126</v>
      </c>
      <c r="B36">
        <v>1</v>
      </c>
    </row>
    <row r="37" spans="1:2" x14ac:dyDescent="0.2">
      <c r="A37" t="s">
        <v>98</v>
      </c>
      <c r="B37">
        <v>1</v>
      </c>
    </row>
    <row r="38" spans="1:2" x14ac:dyDescent="0.2">
      <c r="A38" t="s">
        <v>92</v>
      </c>
      <c r="B38">
        <v>1</v>
      </c>
    </row>
    <row r="39" spans="1:2" x14ac:dyDescent="0.2">
      <c r="A39" t="s">
        <v>154</v>
      </c>
      <c r="B39">
        <v>1</v>
      </c>
    </row>
    <row r="40" spans="1:2" x14ac:dyDescent="0.2">
      <c r="A40" t="s">
        <v>124</v>
      </c>
      <c r="B40">
        <v>1</v>
      </c>
    </row>
    <row r="41" spans="1:2" x14ac:dyDescent="0.2">
      <c r="A41" t="s">
        <v>56</v>
      </c>
      <c r="B41">
        <v>1</v>
      </c>
    </row>
    <row r="42" spans="1:2" x14ac:dyDescent="0.2">
      <c r="A42" t="s">
        <v>122</v>
      </c>
      <c r="B42">
        <v>1</v>
      </c>
    </row>
    <row r="43" spans="1:2" x14ac:dyDescent="0.2">
      <c r="A43" t="s">
        <v>54</v>
      </c>
      <c r="B43">
        <v>1</v>
      </c>
    </row>
    <row r="44" spans="1:2" x14ac:dyDescent="0.2">
      <c r="A44" t="s">
        <v>118</v>
      </c>
      <c r="B44">
        <v>1</v>
      </c>
    </row>
    <row r="45" spans="1:2" x14ac:dyDescent="0.2">
      <c r="A45" t="s">
        <v>142</v>
      </c>
      <c r="B45">
        <v>1</v>
      </c>
    </row>
    <row r="46" spans="1:2" x14ac:dyDescent="0.2">
      <c r="A46" t="s">
        <v>148</v>
      </c>
      <c r="B46">
        <v>1</v>
      </c>
    </row>
    <row r="47" spans="1:2" x14ac:dyDescent="0.2">
      <c r="A47" t="s">
        <v>64</v>
      </c>
      <c r="B47">
        <v>1</v>
      </c>
    </row>
    <row r="48" spans="1:2" x14ac:dyDescent="0.2">
      <c r="A48" t="s">
        <v>114</v>
      </c>
      <c r="B4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036F-E15F-0F46-A401-CFB49005E059}">
  <dimension ref="A1:B31"/>
  <sheetViews>
    <sheetView workbookViewId="0">
      <selection activeCell="E11" sqref="E11"/>
    </sheetView>
  </sheetViews>
  <sheetFormatPr baseColWidth="10" defaultRowHeight="15" x14ac:dyDescent="0.2"/>
  <sheetData>
    <row r="1" spans="1:2" x14ac:dyDescent="0.2">
      <c r="A1" s="1" t="s">
        <v>2</v>
      </c>
      <c r="B1" s="1" t="s">
        <v>1</v>
      </c>
    </row>
    <row r="2" spans="1:2" x14ac:dyDescent="0.2">
      <c r="A2" t="s">
        <v>6</v>
      </c>
      <c r="B2">
        <v>74</v>
      </c>
    </row>
    <row r="3" spans="1:2" x14ac:dyDescent="0.2">
      <c r="A3" t="s">
        <v>8</v>
      </c>
      <c r="B3">
        <v>47</v>
      </c>
    </row>
    <row r="4" spans="1:2" x14ac:dyDescent="0.2">
      <c r="A4" t="s">
        <v>10</v>
      </c>
      <c r="B4">
        <v>35</v>
      </c>
    </row>
    <row r="5" spans="1:2" x14ac:dyDescent="0.2">
      <c r="A5" t="s">
        <v>4</v>
      </c>
      <c r="B5">
        <v>30</v>
      </c>
    </row>
    <row r="6" spans="1:2" x14ac:dyDescent="0.2">
      <c r="A6" t="s">
        <v>16</v>
      </c>
      <c r="B6">
        <v>26</v>
      </c>
    </row>
    <row r="7" spans="1:2" x14ac:dyDescent="0.2">
      <c r="A7" t="s">
        <v>14</v>
      </c>
      <c r="B7">
        <v>26</v>
      </c>
    </row>
    <row r="8" spans="1:2" x14ac:dyDescent="0.2">
      <c r="A8" t="s">
        <v>12</v>
      </c>
      <c r="B8">
        <v>26</v>
      </c>
    </row>
    <row r="9" spans="1:2" x14ac:dyDescent="0.2">
      <c r="A9" t="s">
        <v>32</v>
      </c>
      <c r="B9">
        <v>19</v>
      </c>
    </row>
    <row r="10" spans="1:2" x14ac:dyDescent="0.2">
      <c r="A10" t="s">
        <v>18</v>
      </c>
      <c r="B10">
        <v>13</v>
      </c>
    </row>
    <row r="11" spans="1:2" x14ac:dyDescent="0.2">
      <c r="A11" t="s">
        <v>38</v>
      </c>
      <c r="B11">
        <v>13</v>
      </c>
    </row>
    <row r="12" spans="1:2" x14ac:dyDescent="0.2">
      <c r="A12" t="s">
        <v>20</v>
      </c>
      <c r="B12">
        <v>12</v>
      </c>
    </row>
    <row r="13" spans="1:2" x14ac:dyDescent="0.2">
      <c r="A13" t="s">
        <v>42</v>
      </c>
      <c r="B13">
        <v>10</v>
      </c>
    </row>
    <row r="14" spans="1:2" x14ac:dyDescent="0.2">
      <c r="A14" t="s">
        <v>36</v>
      </c>
      <c r="B14">
        <v>9</v>
      </c>
    </row>
    <row r="15" spans="1:2" x14ac:dyDescent="0.2">
      <c r="A15" t="s">
        <v>30</v>
      </c>
      <c r="B15">
        <v>9</v>
      </c>
    </row>
    <row r="16" spans="1:2" x14ac:dyDescent="0.2">
      <c r="A16" t="s">
        <v>58</v>
      </c>
      <c r="B16">
        <v>8</v>
      </c>
    </row>
    <row r="17" spans="1:2" x14ac:dyDescent="0.2">
      <c r="A17" t="s">
        <v>46</v>
      </c>
      <c r="B17">
        <v>6</v>
      </c>
    </row>
    <row r="18" spans="1:2" x14ac:dyDescent="0.2">
      <c r="A18" t="s">
        <v>22</v>
      </c>
      <c r="B18">
        <v>5</v>
      </c>
    </row>
    <row r="19" spans="1:2" x14ac:dyDescent="0.2">
      <c r="A19" t="s">
        <v>70</v>
      </c>
      <c r="B19">
        <v>5</v>
      </c>
    </row>
    <row r="20" spans="1:2" x14ac:dyDescent="0.2">
      <c r="A20" t="s">
        <v>50</v>
      </c>
      <c r="B20">
        <v>3</v>
      </c>
    </row>
    <row r="21" spans="1:2" x14ac:dyDescent="0.2">
      <c r="A21" t="s">
        <v>52</v>
      </c>
      <c r="B21">
        <v>3</v>
      </c>
    </row>
    <row r="22" spans="1:2" x14ac:dyDescent="0.2">
      <c r="A22" t="s">
        <v>68</v>
      </c>
      <c r="B22">
        <v>3</v>
      </c>
    </row>
    <row r="23" spans="1:2" x14ac:dyDescent="0.2">
      <c r="A23" t="s">
        <v>44</v>
      </c>
      <c r="B23">
        <v>2</v>
      </c>
    </row>
    <row r="24" spans="1:2" x14ac:dyDescent="0.2">
      <c r="A24" t="s">
        <v>28</v>
      </c>
      <c r="B24">
        <v>2</v>
      </c>
    </row>
    <row r="25" spans="1:2" x14ac:dyDescent="0.2">
      <c r="A25" t="s">
        <v>102</v>
      </c>
      <c r="B25">
        <v>2</v>
      </c>
    </row>
    <row r="26" spans="1:2" x14ac:dyDescent="0.2">
      <c r="A26" t="s">
        <v>40</v>
      </c>
      <c r="B26">
        <v>2</v>
      </c>
    </row>
    <row r="27" spans="1:2" x14ac:dyDescent="0.2">
      <c r="A27" t="s">
        <v>92</v>
      </c>
      <c r="B27">
        <v>1</v>
      </c>
    </row>
    <row r="28" spans="1:2" x14ac:dyDescent="0.2">
      <c r="A28" t="s">
        <v>54</v>
      </c>
      <c r="B28">
        <v>1</v>
      </c>
    </row>
    <row r="29" spans="1:2" x14ac:dyDescent="0.2">
      <c r="A29" t="s">
        <v>72</v>
      </c>
      <c r="B29">
        <v>1</v>
      </c>
    </row>
    <row r="30" spans="1:2" x14ac:dyDescent="0.2">
      <c r="A30" t="s">
        <v>98</v>
      </c>
      <c r="B30">
        <v>1</v>
      </c>
    </row>
    <row r="31" spans="1:2" x14ac:dyDescent="0.2">
      <c r="A31" t="s">
        <v>64</v>
      </c>
      <c r="B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Week7</vt:lpstr>
      <vt:lpstr>Week6</vt:lpstr>
      <vt:lpstr>Week5</vt:lpstr>
      <vt:lpstr>Week4</vt:lpstr>
      <vt:lpstr>Week3</vt:lpstr>
      <vt:lpstr>Week2</vt:lpstr>
      <vt:lpstr>Week1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Burns</cp:lastModifiedBy>
  <dcterms:created xsi:type="dcterms:W3CDTF">2026-02-25T21:53:12Z</dcterms:created>
  <dcterms:modified xsi:type="dcterms:W3CDTF">2026-04-02T22:48:21Z</dcterms:modified>
</cp:coreProperties>
</file>